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defaultThemeVersion="166925"/>
  <mc:AlternateContent xmlns:mc="http://schemas.openxmlformats.org/markup-compatibility/2006">
    <mc:Choice Requires="x15">
      <x15ac:absPath xmlns:x15ac="http://schemas.microsoft.com/office/spreadsheetml/2010/11/ac" url="D:\Projects\"/>
    </mc:Choice>
  </mc:AlternateContent>
  <xr:revisionPtr revIDLastSave="0" documentId="8_{3364E9F1-F654-4E18-8AEC-C8293421496D}" xr6:coauthVersionLast="41" xr6:coauthVersionMax="41" xr10:uidLastSave="{00000000-0000-0000-0000-000000000000}"/>
  <bookViews>
    <workbookView xWindow="-120" yWindow="-120" windowWidth="20730" windowHeight="11040" firstSheet="3" activeTab="6" xr2:uid="{75048B6B-1348-4205-AA45-5FE483E2AA35}"/>
  </bookViews>
  <sheets>
    <sheet name="Master_Data" sheetId="2" r:id="rId1"/>
    <sheet name="Cleaned_Dataset" sheetId="3" r:id="rId2"/>
    <sheet name="Sales_Analysis " sheetId="4" r:id="rId3"/>
    <sheet name="Pivot_Anaysis" sheetId="5" r:id="rId4"/>
    <sheet name="Dashboard_Analysis" sheetId="6" r:id="rId5"/>
    <sheet name="Business_Insights" sheetId="7" r:id="rId6"/>
    <sheet name="Project_Description" sheetId="8" r:id="rId7"/>
  </sheets>
  <externalReferences>
    <externalReference r:id="rId8"/>
  </externalReferences>
  <definedNames>
    <definedName name="ExternalData_1" localSheetId="1" hidden="1">Cleaned_Dataset!$A$1:$I$51</definedName>
    <definedName name="NativeTimeline_Order_Date">#N/A</definedName>
    <definedName name="NativeTimeline_Order_Date1">#N/A</definedName>
    <definedName name="Slicer_Category">#N/A</definedName>
    <definedName name="Slicer_Category1">#N/A</definedName>
    <definedName name="Slicer_Category2">#N/A</definedName>
    <definedName name="Slicer_Country">#N/A</definedName>
    <definedName name="Slicer_Country1">#N/A</definedName>
    <definedName name="Slicer_Country2">#N/A</definedName>
    <definedName name="Slicer_Sales_Person">#N/A</definedName>
    <definedName name="Slicer_Sales_Person1">#N/A</definedName>
    <definedName name="Slicer_Sales_Person2">#N/A</definedName>
  </definedNames>
  <calcPr calcId="191029"/>
  <pivotCaches>
    <pivotCache cacheId="3"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6" i="6" l="1"/>
  <c r="F6" i="6"/>
  <c r="D6" i="6"/>
  <c r="B6" i="6"/>
  <c r="C9" i="4"/>
  <c r="C8" i="4"/>
  <c r="C7" i="4"/>
  <c r="C6" i="4"/>
  <c r="C26" i="5"/>
  <c r="F16" i="5"/>
  <c r="A15" i="5"/>
  <c r="A10"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493B29-8C30-4A7A-9F61-098FB6C24531}" keepAlive="1" name="Query - cleaned_data" description="Connection to the 'cleaned_data' query in the workbook." type="5" refreshedVersion="6" background="1" saveData="1">
    <dbPr connection="Provider=Microsoft.Mashup.OleDb.1;Data Source=$Workbook$;Location=cleaned_data;Extended Properties=&quot;&quot;" command="SELECT * FROM [cleaned_data]"/>
  </connection>
</connections>
</file>

<file path=xl/sharedStrings.xml><?xml version="1.0" encoding="utf-8"?>
<sst xmlns="http://schemas.openxmlformats.org/spreadsheetml/2006/main" count="678" uniqueCount="190">
  <si>
    <t>Ravi</t>
  </si>
  <si>
    <t>Sales</t>
  </si>
  <si>
    <t>Priya</t>
  </si>
  <si>
    <t>Anu</t>
  </si>
  <si>
    <t>Rahul</t>
  </si>
  <si>
    <t>Alekhya</t>
  </si>
  <si>
    <t>Kiran</t>
  </si>
  <si>
    <t>Divya</t>
  </si>
  <si>
    <t>Sita</t>
  </si>
  <si>
    <t>Arun</t>
  </si>
  <si>
    <t>Vijay</t>
  </si>
  <si>
    <t>Neha</t>
  </si>
  <si>
    <t>Rohit</t>
  </si>
  <si>
    <t>Sneha</t>
  </si>
  <si>
    <t>Karthik</t>
  </si>
  <si>
    <t>Pooja</t>
  </si>
  <si>
    <t>Manoj</t>
  </si>
  <si>
    <t>Swathi</t>
  </si>
  <si>
    <t>Ramesh</t>
  </si>
  <si>
    <t>Order ID</t>
  </si>
  <si>
    <t>Order Date</t>
  </si>
  <si>
    <t>Customer</t>
  </si>
  <si>
    <t>Country</t>
  </si>
  <si>
    <t>Category</t>
  </si>
  <si>
    <t>Sales Person</t>
  </si>
  <si>
    <t>Quantity</t>
  </si>
  <si>
    <t>Profit</t>
  </si>
  <si>
    <t>ORD001</t>
  </si>
  <si>
    <t>India</t>
  </si>
  <si>
    <t>Electronics</t>
  </si>
  <si>
    <t>ORD002</t>
  </si>
  <si>
    <t>USA</t>
  </si>
  <si>
    <t>Furniture</t>
  </si>
  <si>
    <t>ORD003</t>
  </si>
  <si>
    <t>Office Supplies</t>
  </si>
  <si>
    <t>ORD004</t>
  </si>
  <si>
    <t>UK</t>
  </si>
  <si>
    <t>ORD005</t>
  </si>
  <si>
    <t>Australia</t>
  </si>
  <si>
    <t>ORD006</t>
  </si>
  <si>
    <t>ORD007</t>
  </si>
  <si>
    <t>ORD008</t>
  </si>
  <si>
    <t>ORD009</t>
  </si>
  <si>
    <t>Canada</t>
  </si>
  <si>
    <t>ORD010</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</si>
  <si>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</si>
  <si>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</si>
  <si>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</si>
  <si>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</si>
  <si>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</si>
  <si>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</si>
  <si>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</si>
  <si>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</si>
  <si>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</si>
  <si>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</si>
  <si>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</si>
  <si>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</si>
  <si>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</si>
  <si>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</si>
  <si>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</si>
  <si>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</si>
  <si>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</si>
  <si>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</si>
  <si>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</si>
  <si>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</si>
  <si>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</si>
  <si>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</si>
  <si>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</si>
  <si>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</si>
  <si>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</si>
  <si>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</si>
  <si>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</si>
  <si>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</si>
  <si>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</si>
  <si>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</si>
  <si>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</si>
  <si>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</si>
  <si>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</si>
  <si>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</si>
  <si>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</si>
  <si>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</si>
  <si>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</si>
  <si>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</si>
  <si>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</si>
  <si>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</si>
  <si>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S.No</t>
  </si>
  <si>
    <t>values</t>
  </si>
  <si>
    <t>Total Sales</t>
  </si>
  <si>
    <t>Average Sale</t>
  </si>
  <si>
    <t xml:space="preserve">Highest Sale </t>
  </si>
  <si>
    <t xml:space="preserve">Lowest sale </t>
  </si>
  <si>
    <t>Row Labels</t>
  </si>
  <si>
    <t>Total Profit</t>
  </si>
  <si>
    <t>Top-Performing salesperson</t>
  </si>
  <si>
    <t xml:space="preserve">Lowest-Porforming salesPerson </t>
  </si>
  <si>
    <t>Highest-Sales Country</t>
  </si>
  <si>
    <t>Lowest-Sales Country</t>
  </si>
  <si>
    <t xml:space="preserve">Top-Selling Category </t>
  </si>
  <si>
    <t>Highest-Sales Month</t>
  </si>
  <si>
    <t>july</t>
  </si>
  <si>
    <t>Grand Total</t>
  </si>
  <si>
    <t>Lowest-Sales Month</t>
  </si>
  <si>
    <t>Jan</t>
  </si>
  <si>
    <t>Most Profitable Category</t>
  </si>
  <si>
    <t>Top Salesperson by Profit</t>
  </si>
  <si>
    <t>Top Country by Profit</t>
  </si>
  <si>
    <t>Sum of Sales</t>
  </si>
  <si>
    <t>Feb</t>
  </si>
  <si>
    <t>Mar</t>
  </si>
  <si>
    <t>Apr</t>
  </si>
  <si>
    <t>May</t>
  </si>
  <si>
    <t>Jun</t>
  </si>
  <si>
    <t>Jul</t>
  </si>
  <si>
    <t>Aug</t>
  </si>
  <si>
    <t>Sep</t>
  </si>
  <si>
    <t>Sum of Profit</t>
  </si>
  <si>
    <t>Count of Sales</t>
  </si>
  <si>
    <t>Oct</t>
  </si>
  <si>
    <t>Average of Sales</t>
  </si>
  <si>
    <t>avg sales</t>
  </si>
  <si>
    <t>Total Orders</t>
  </si>
  <si>
    <t>Toatal Sales</t>
  </si>
  <si>
    <t>Average Sales</t>
  </si>
  <si>
    <t>NO.</t>
  </si>
  <si>
    <t>Bussiness QUESTION</t>
  </si>
  <si>
    <t>Finding/Insight</t>
  </si>
  <si>
    <t>Evidence</t>
  </si>
  <si>
    <t>Business impact</t>
  </si>
  <si>
    <t>Which country has the highest sales?</t>
  </si>
  <si>
    <t>India has the higest sales  among the five countries displayed.</t>
  </si>
  <si>
    <t>India: ₹8,41,000</t>
  </si>
  <si>
    <t>India is the strongest-performing country in the current dataset. Understanding the reasons for its performance may help identify opportunities in other countries.</t>
  </si>
  <si>
    <t>What are the total sales?</t>
  </si>
  <si>
    <t>Total sales are ₹20,50,000</t>
  </si>
  <si>
    <t>Total Sales KPI</t>
  </si>
  <si>
    <t>Total sales of ₹20,50,000 provide a baseline for monitoring overall sales performance and setting future targets.</t>
  </si>
  <si>
    <t>who is the top salesperson?</t>
  </si>
  <si>
    <t>Alekhya has the highest  sales among the four salespeople displayed</t>
  </si>
  <si>
    <t>Alekhya: ₹5,95,000</t>
  </si>
  <si>
    <t>Alekhya’s sales performance can be studied to identify effective sales practices that may be useful for the wider team.</t>
  </si>
  <si>
    <t>What is the total profit?</t>
  </si>
  <si>
    <t>Total profit is ₹4,10,000</t>
  </si>
  <si>
    <t>Total Profit KPI</t>
  </si>
  <si>
    <t>Total profit of ₹4,10,000 helps the business evaluate profitability alongside revenue.</t>
  </si>
  <si>
    <t>who has the  lowest  sales among the salespeople?</t>
  </si>
  <si>
    <t>Priya has the lowest sales among the four sales persons displayed</t>
  </si>
  <si>
    <t>Priya: ₹ 4,34,000</t>
  </si>
  <si>
    <t>Priya’s sales results can be reviewed to identify training needs, sales challenges, or opportunities for support.</t>
  </si>
  <si>
    <t>Which  categorty contributes the most sales?</t>
  </si>
  <si>
    <t xml:space="preserve">Electronics has the largest share among the  category chart displayed  </t>
  </si>
  <si>
    <t xml:space="preserve">Electronics:56% </t>
  </si>
  <si>
    <t>Electronics contributes approximately 56% of category sales, making it an important category to monitor for stock availability and future sales opportunities.</t>
  </si>
  <si>
    <t>Which country contributes the least sales?</t>
  </si>
  <si>
    <t xml:space="preserve">Austtralia  contributes the least sales among the five countries displayed </t>
  </si>
  <si>
    <t>Australia:₹ 1,56,000</t>
  </si>
  <si>
    <t>Australia’s lower sales may warrant further investigation into customer demand, product availability, pricing, and marketing.</t>
  </si>
  <si>
    <t>Which category contributes the least sales ?</t>
  </si>
  <si>
    <t>Office supplies has the smallest share among the category chart displayed</t>
  </si>
  <si>
    <t>Office Supplies:17%</t>
  </si>
  <si>
    <t>Office Supplies contributes approximately 17% of category sales. Reviewing demand and product selection may reveal opportunities to improve performance.</t>
  </si>
  <si>
    <t>Are monthly sales increasing ,decreasing or fluctuating ?</t>
  </si>
  <si>
    <t xml:space="preserve">Sales fluctuate across the months displayed, with visible peaks and declines </t>
  </si>
  <si>
    <t>Monthly Sales Trend chart; monthly sales values</t>
  </si>
  <si>
    <t>Fluctuating monthly sales make it useful to identify seasonal patterns and plan inventory, promotions, and sales targets accordingly.</t>
  </si>
  <si>
    <t>what is the most important opportunity for improving sales ?</t>
  </si>
  <si>
    <t>The most important opportunity is to investigate the strong sales performance of India and the Electronics category, identify the factors contributing to their performance, and explore whether successful practices can be applied to other countries and categories.</t>
  </si>
  <si>
    <t>Country-wise sales chart and category  sales chart</t>
  </si>
  <si>
    <t>Study the factors behind strong performance in India and Electronics, then test suitable strategies in other countries and categories to improve overall sales.</t>
  </si>
  <si>
    <t xml:space="preserve">Section </t>
  </si>
  <si>
    <t>Content</t>
  </si>
  <si>
    <t>Project Title</t>
  </si>
  <si>
    <t xml:space="preserve">Sales Data Analysis and Dashboard </t>
  </si>
  <si>
    <t xml:space="preserve">Project Objective </t>
  </si>
  <si>
    <t>To analyze sales data using Microsoft Excel, identify sales trends, evaluate salesperson performance, compare sales across countries, and understand category-wise sales performance.</t>
  </si>
  <si>
    <t xml:space="preserve">Business Problem </t>
  </si>
  <si>
    <t>Businesses need to understand which countries, product categories, salespeople, and months contribute most to sales so that they can make better business decisions.</t>
  </si>
  <si>
    <t xml:space="preserve">Dataset  Description </t>
  </si>
  <si>
    <t>The  dataset contains sales transaction information, including order dates, customers,countries, categories, salespeople, sales amounts, and other available order details.</t>
  </si>
  <si>
    <t>Tools Used</t>
  </si>
  <si>
    <t xml:space="preserve">Microsoft Excel, Excel Tables, Power Query, Pivot Tables, PivotCharts, Slicers, and Excel formulas. </t>
  </si>
  <si>
    <t>Data Cleaning</t>
  </si>
  <si>
    <t>Checked data types, removed or handled duplicates where appropriate, corrected inconsistencies, and prepared the dataset for analysis.</t>
  </si>
  <si>
    <t xml:space="preserve">Data Analysis </t>
  </si>
  <si>
    <t>Analyzed total sales, average sales, total orders, country-wise sales, monthly sales trends, salesperson performance , and category-wise sales.</t>
  </si>
  <si>
    <t xml:space="preserve">Dashboard Development </t>
  </si>
  <si>
    <t>Created an interactive sales dashboard featuring KPI cards, charts, and slicers to explore overall sales, profit, order volume, country-wise performance, monthly trends, salesperson performance, and category-wise sales.</t>
  </si>
  <si>
    <t xml:space="preserve">Key Deliverables </t>
  </si>
  <si>
    <t>Cleaned dataset, sales analysis, interactive dashboard,10 business insights, and business recommendations.</t>
  </si>
  <si>
    <t>Project Outcome</t>
  </si>
  <si>
    <t>Developed a sales analysis report that summarizes business performance, highlights important sales patterns, and identifies opportunities for further investigation and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</si>
</sst>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 #,##0;&quot;₹&quot;\ \-#,##0"/>
    <numFmt numFmtId="43" formatCode="_ * #,##0.00_ ;_ * \-#,##0.00_ ;_ * &quot;-&quot;??_ ;_ @_ "/>
    <numFmt numFmtId="164" formatCode="_ * #,##0_ ;_ * \-#,##0_ ;_ * &quot;-&quot;??_ ;_ @_ "/>
    <numFmt numFmtId="165" formatCode="&quot;₹&quot;\ #,##0"/>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20"/>
      <color theme="1"/>
      <name val="Calibri"/>
      <family val="2"/>
      <scheme val="minor"/>
    </font>
    <font>
      <sz val="24"/>
      <color theme="1"/>
      <name val="Calibri"/>
      <family val="2"/>
      <scheme val="minor"/>
    </font>
    <font>
      <b/>
      <sz val="24"/>
      <color theme="1"/>
      <name val="Calibri"/>
      <family val="2"/>
      <scheme val="minor"/>
    </font>
    <font>
      <b/>
      <sz val="18"/>
      <color theme="3" tint="-0.499984740745262"/>
      <name val="Calibri"/>
      <family val="2"/>
      <scheme val="minor"/>
    </font>
    <font>
      <sz val="12"/>
      <color theme="1"/>
      <name val="Calibri"/>
      <family val="2"/>
      <scheme val="minor"/>
    </font>
    <font>
      <b/>
      <sz val="18"/>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theme="9" tint="0.79998168889431442"/>
        <bgColor theme="9" tint="0.79998168889431442"/>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bgColor theme="9" tint="0.79998168889431442"/>
      </patternFill>
    </fill>
  </fills>
  <borders count="7">
    <border>
      <left/>
      <right/>
      <top/>
      <bottom/>
      <diagonal/>
    </border>
    <border>
      <left style="thin">
        <color theme="9"/>
      </left>
      <right style="thin">
        <color theme="9"/>
      </right>
      <top style="thin">
        <color theme="9"/>
      </top>
      <bottom style="thin">
        <color theme="9"/>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style="thin">
        <color theme="9"/>
      </left>
      <right style="thin">
        <color theme="9"/>
      </right>
      <top/>
      <bottom style="thin">
        <color theme="9"/>
      </bottom>
      <diagonal/>
    </border>
  </borders>
  <cellStyleXfs count="2">
    <xf numFmtId="0" fontId="0" fillId="0" borderId="0"/>
    <xf numFmtId="43" fontId="1" fillId="0" borderId="0" applyFont="0" applyFill="0" applyBorder="0" applyAlignment="0" applyProtection="0"/>
  </cellStyleXfs>
  <cellXfs count="46">
    <xf numFmtId="0" fontId="0" fillId="0" borderId="0" xfId="0"/>
    <xf numFmtId="0" fontId="2" fillId="0" borderId="0" xfId="0" applyFont="1" applyAlignment="1">
      <alignment horizontal="center" vertical="center" wrapText="1"/>
    </xf>
    <xf numFmtId="0" fontId="2" fillId="0" borderId="0" xfId="0" applyFont="1" applyAlignment="1">
      <alignment horizontal="right" vertical="center" wrapText="1"/>
    </xf>
    <xf numFmtId="0" fontId="0" fillId="0" borderId="0" xfId="0" applyAlignment="1">
      <alignment vertical="center" wrapText="1"/>
    </xf>
    <xf numFmtId="15" fontId="0" fillId="0" borderId="0" xfId="0" applyNumberFormat="1" applyAlignment="1">
      <alignment vertical="center" wrapText="1"/>
    </xf>
    <xf numFmtId="0" fontId="0" fillId="0" borderId="0" xfId="0" applyAlignment="1">
      <alignment horizontal="right" vertical="center" wrapText="1"/>
    </xf>
    <xf numFmtId="14" fontId="0" fillId="0" borderId="0" xfId="0" applyNumberFormat="1"/>
    <xf numFmtId="0" fontId="0" fillId="0" borderId="2" xfId="0" applyBorder="1"/>
    <xf numFmtId="14" fontId="0" fillId="0" borderId="3" xfId="0" applyNumberFormat="1" applyBorder="1"/>
    <xf numFmtId="0" fontId="0" fillId="0" borderId="3" xfId="0" applyBorder="1"/>
    <xf numFmtId="0" fontId="0" fillId="0" borderId="4" xfId="0" applyBorder="1"/>
    <xf numFmtId="0" fontId="3" fillId="0" borderId="0" xfId="0" applyFont="1"/>
    <xf numFmtId="0" fontId="0" fillId="0" borderId="0" xfId="0" applyAlignment="1">
      <alignment horizontal="left"/>
    </xf>
    <xf numFmtId="0" fontId="0" fillId="0" borderId="0" xfId="0" applyAlignment="1">
      <alignment horizontal="left" vertical="center"/>
    </xf>
    <xf numFmtId="5" fontId="0" fillId="0" borderId="0" xfId="1" applyNumberFormat="1" applyFont="1" applyAlignment="1">
      <alignment horizontal="left" vertical="center"/>
    </xf>
    <xf numFmtId="0" fontId="0" fillId="3" borderId="0" xfId="0" applyFill="1"/>
    <xf numFmtId="164" fontId="0" fillId="0" borderId="0" xfId="0" applyNumberFormat="1"/>
    <xf numFmtId="164" fontId="0" fillId="0" borderId="0" xfId="0" applyNumberFormat="1" applyAlignment="1">
      <alignment horizontal="left" vertical="center"/>
    </xf>
    <xf numFmtId="0" fontId="0" fillId="3" borderId="0" xfId="0" applyFill="1" applyAlignment="1">
      <alignment horizontal="left"/>
    </xf>
    <xf numFmtId="164" fontId="0" fillId="3" borderId="0" xfId="0" applyNumberFormat="1" applyFill="1"/>
    <xf numFmtId="164" fontId="0" fillId="0" borderId="0" xfId="1" applyNumberFormat="1" applyFont="1"/>
    <xf numFmtId="0" fontId="0" fillId="3" borderId="0" xfId="0" pivotButton="1" applyFill="1"/>
    <xf numFmtId="0" fontId="0" fillId="0" borderId="0" xfId="0" pivotButton="1"/>
    <xf numFmtId="10" fontId="0" fillId="3" borderId="0" xfId="0" applyNumberFormat="1" applyFill="1"/>
    <xf numFmtId="10" fontId="0" fillId="0" borderId="0" xfId="0" applyNumberFormat="1"/>
    <xf numFmtId="14" fontId="0" fillId="0" borderId="0" xfId="0" applyNumberFormat="1" applyAlignment="1">
      <alignment horizontal="left"/>
    </xf>
    <xf numFmtId="14" fontId="0" fillId="3" borderId="0" xfId="0" applyNumberFormat="1" applyFill="1" applyAlignment="1">
      <alignment horizontal="left"/>
    </xf>
    <xf numFmtId="14" fontId="0" fillId="0" borderId="0" xfId="0" pivotButton="1" applyNumberFormat="1" applyAlignment="1">
      <alignment horizontal="left"/>
    </xf>
    <xf numFmtId="0" fontId="0" fillId="3" borderId="0" xfId="0" pivotButton="1" applyFill="1" applyAlignment="1">
      <alignment horizontal="left"/>
    </xf>
    <xf numFmtId="10" fontId="0" fillId="3" borderId="0" xfId="0" pivotButton="1" applyNumberFormat="1" applyFill="1"/>
    <xf numFmtId="0" fontId="4" fillId="3" borderId="0" xfId="0" applyFont="1" applyFill="1" applyAlignment="1">
      <alignment horizontal="center"/>
    </xf>
    <xf numFmtId="0" fontId="3" fillId="4" borderId="5" xfId="0" applyFont="1" applyFill="1" applyBorder="1" applyAlignment="1">
      <alignment horizontal="center"/>
    </xf>
    <xf numFmtId="165" fontId="5" fillId="3" borderId="5" xfId="0" applyNumberFormat="1" applyFont="1" applyFill="1" applyBorder="1" applyAlignment="1">
      <alignment horizontal="center" vertical="center"/>
    </xf>
    <xf numFmtId="0" fontId="6" fillId="0" borderId="0" xfId="0" applyFont="1" applyAlignment="1">
      <alignment vertical="center"/>
    </xf>
    <xf numFmtId="0" fontId="6" fillId="5" borderId="6" xfId="0" applyFont="1" applyFill="1" applyBorder="1" applyAlignment="1">
      <alignment vertical="center" wrapText="1"/>
    </xf>
    <xf numFmtId="0" fontId="7" fillId="0" borderId="0" xfId="0" applyFont="1" applyAlignment="1">
      <alignment vertical="center"/>
    </xf>
    <xf numFmtId="0" fontId="7" fillId="0" borderId="0" xfId="0" applyFont="1" applyAlignment="1">
      <alignment horizontal="left" vertical="center"/>
    </xf>
    <xf numFmtId="0" fontId="7" fillId="0" borderId="0" xfId="0" applyFont="1" applyAlignment="1">
      <alignment vertical="center" wrapText="1"/>
    </xf>
    <xf numFmtId="0" fontId="7" fillId="0" borderId="0" xfId="0" applyFont="1" applyAlignment="1">
      <alignment wrapText="1"/>
    </xf>
    <xf numFmtId="0" fontId="7" fillId="0" borderId="0" xfId="0" applyFont="1" applyAlignment="1">
      <alignment horizontal="left" vertical="center" wrapText="1"/>
    </xf>
    <xf numFmtId="0" fontId="0" fillId="0" borderId="0" xfId="0" applyAlignment="1">
      <alignment wrapText="1"/>
    </xf>
    <xf numFmtId="0" fontId="7" fillId="0" borderId="1" xfId="0" applyFont="1" applyBorder="1" applyAlignment="1">
      <alignment horizontal="left" vertical="center" wrapText="1"/>
    </xf>
    <xf numFmtId="0" fontId="7" fillId="0" borderId="0" xfId="0" applyFont="1" applyAlignment="1">
      <alignment horizontal="right" vertical="center"/>
    </xf>
    <xf numFmtId="0" fontId="7" fillId="2" borderId="1" xfId="0" applyFont="1" applyFill="1" applyBorder="1" applyAlignment="1">
      <alignment horizontal="left" vertical="center" wrapText="1"/>
    </xf>
    <xf numFmtId="0" fontId="8" fillId="0" borderId="0" xfId="0" applyFont="1" applyAlignment="1">
      <alignment wrapText="1"/>
    </xf>
    <xf numFmtId="0" fontId="9" fillId="0" borderId="0" xfId="0" applyFont="1" applyAlignment="1">
      <alignment horizontal="left" vertical="center" wrapText="1"/>
    </xf>
  </cellXfs>
  <cellStyles count="2">
    <cellStyle name="Comma" xfId="1" builtinId="3"/>
    <cellStyle name="Normal" xfId="0" builtinId="0"/>
  </cellStyles>
  <dxfs count="59">
    <dxf>
      <alignment horizontal="left" vertical="center" textRotation="0" wrapText="1" indent="0" justifyLastLine="0" shrinkToFit="0" readingOrder="0"/>
    </dxf>
    <dxf>
      <font>
        <strike val="0"/>
        <outline val="0"/>
        <shadow val="0"/>
        <u val="none"/>
        <vertAlign val="baseline"/>
        <sz val="12"/>
        <color theme="1"/>
        <name val="Calibri"/>
        <family val="2"/>
        <scheme val="minor"/>
      </font>
      <alignment horizontal="left" vertical="center" textRotation="0" wrapText="1" indent="0" justifyLastLine="0" shrinkToFit="0" readingOrder="0"/>
    </dxf>
    <dxf>
      <font>
        <b/>
        <strike val="0"/>
        <outline val="0"/>
        <shadow val="0"/>
        <u val="none"/>
        <vertAlign val="baseline"/>
        <sz val="12"/>
        <color theme="1"/>
        <name val="Calibri"/>
        <family val="2"/>
        <scheme val="minor"/>
      </font>
      <alignment horizontal="left" vertical="center" textRotation="0" wrapText="1" indent="0" justifyLastLine="0" shrinkToFit="0" readingOrder="0"/>
    </dxf>
    <dxf>
      <font>
        <b/>
        <strike val="0"/>
        <outline val="0"/>
        <shadow val="0"/>
        <u val="none"/>
        <vertAlign val="baseline"/>
        <sz val="18"/>
        <color theme="1"/>
        <name val="Calibri"/>
        <family val="2"/>
        <scheme val="minor"/>
      </font>
      <alignment horizontal="general" vertical="bottom" textRotation="0" wrapText="1" indent="0" justifyLastLine="0" shrinkToFit="0" readingOrder="0"/>
    </dxf>
    <dxf>
      <font>
        <strike val="0"/>
        <outline val="0"/>
        <shadow val="0"/>
        <u val="none"/>
        <vertAlign val="baseline"/>
        <sz val="12"/>
        <color theme="1"/>
        <name val="Calibri"/>
        <family val="2"/>
        <scheme val="minor"/>
      </font>
      <alignment horizontal="left" vertical="center" textRotation="0" wrapText="1" indent="0" justifyLastLine="0" shrinkToFit="0" readingOrder="0"/>
    </dxf>
    <dxf>
      <font>
        <strike val="0"/>
        <outline val="0"/>
        <shadow val="0"/>
        <u val="none"/>
        <vertAlign val="baseline"/>
        <sz val="12"/>
        <color theme="1"/>
        <name val="Calibri"/>
        <family val="2"/>
        <scheme val="minor"/>
      </font>
      <alignment horizontal="left" vertical="center" textRotation="0" wrapText="1" indent="0" justifyLastLine="0" shrinkToFit="0" readingOrder="0"/>
    </dxf>
    <dxf>
      <font>
        <strike val="0"/>
        <outline val="0"/>
        <shadow val="0"/>
        <u val="none"/>
        <vertAlign val="baseline"/>
        <sz val="12"/>
        <color theme="1"/>
        <name val="Calibri"/>
        <family val="2"/>
        <scheme val="minor"/>
      </font>
      <alignment horizontal="right" vertical="center" textRotation="0" wrapText="0" indent="0" justifyLastLine="0" shrinkToFit="0" readingOrder="0"/>
    </dxf>
    <dxf>
      <font>
        <strike val="0"/>
        <outline val="0"/>
        <shadow val="0"/>
        <u val="none"/>
        <vertAlign val="baseline"/>
        <sz val="12"/>
        <color theme="1"/>
        <name val="Calibri"/>
        <family val="2"/>
        <scheme val="minor"/>
      </font>
      <alignment horizontal="general" vertical="center" textRotation="0" wrapText="0" indent="0" justifyLastLine="0" shrinkToFit="0" readingOrder="0"/>
    </dxf>
    <dxf>
      <border outline="0">
        <bottom style="thin">
          <color theme="9"/>
        </bottom>
      </border>
    </dxf>
    <dxf>
      <border outline="0">
        <top style="thin">
          <color theme="9"/>
        </top>
      </border>
    </dxf>
    <dxf>
      <font>
        <b/>
        <i val="0"/>
        <strike val="0"/>
        <condense val="0"/>
        <extend val="0"/>
        <outline val="0"/>
        <shadow val="0"/>
        <u val="none"/>
        <vertAlign val="baseline"/>
        <sz val="18"/>
        <color theme="3" tint="-0.499984740745262"/>
        <name val="Calibri"/>
        <family val="2"/>
        <scheme val="minor"/>
      </font>
      <fill>
        <patternFill patternType="solid">
          <fgColor theme="9" tint="0.79998168889431442"/>
          <bgColor theme="0"/>
        </patternFill>
      </fill>
      <alignment horizontal="general" vertical="center" textRotation="0" wrapText="1" indent="0" justifyLastLine="0" shrinkToFit="0" readingOrder="0"/>
    </dxf>
    <dxf>
      <font>
        <strike val="0"/>
        <outline val="0"/>
        <shadow val="0"/>
        <u val="none"/>
        <vertAlign val="baseline"/>
        <sz val="12"/>
        <color theme="1"/>
        <name val="Calibri"/>
        <family val="2"/>
        <scheme val="minor"/>
      </font>
      <alignment horizontal="left" vertical="center" textRotation="0" wrapText="0" indent="0" justifyLastLine="0" shrinkToFit="0" readingOrder="0"/>
    </dxf>
    <dxf>
      <font>
        <strike val="0"/>
        <outline val="0"/>
        <shadow val="0"/>
        <u val="none"/>
        <vertAlign val="baseline"/>
        <sz val="12"/>
        <color theme="1"/>
        <name val="Calibri"/>
        <family val="2"/>
        <scheme val="minor"/>
      </font>
      <alignment horizontal="general" vertical="bottom" textRotation="0" wrapText="0" indent="0" justifyLastLine="0" shrinkToFit="0" readingOrder="0"/>
    </dxf>
    <dxf>
      <font>
        <strike val="0"/>
        <outline val="0"/>
        <shadow val="0"/>
        <u val="none"/>
        <vertAlign val="baseline"/>
        <sz val="12"/>
        <color theme="1"/>
        <name val="Calibri"/>
        <family val="2"/>
        <scheme val="minor"/>
      </font>
      <alignment horizontal="general" vertical="bottom" textRotation="0" wrapText="0" indent="0" justifyLastLine="0" shrinkToFit="0" readingOrder="0"/>
    </dxf>
    <dxf>
      <font>
        <b/>
        <i val="0"/>
        <strike val="0"/>
        <condense val="0"/>
        <extend val="0"/>
        <outline val="0"/>
        <shadow val="0"/>
        <u val="none"/>
        <vertAlign val="baseline"/>
        <sz val="18"/>
        <color theme="3" tint="-0.499984740745262"/>
        <name val="Calibri"/>
        <family val="2"/>
        <scheme val="minor"/>
      </font>
      <alignment horizontal="general" vertical="center"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alignment horizontal="left" vertical="center"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0" formatCode="General"/>
    </dxf>
    <dxf>
      <numFmt numFmtId="0" formatCode="General"/>
    </dxf>
    <dxf>
      <numFmt numFmtId="0" formatCode="General"/>
    </dxf>
    <dxf>
      <numFmt numFmtId="0" formatCode="General"/>
    </dxf>
    <dxf>
      <numFmt numFmtId="19" formatCode="dd/mm/yyyy"/>
    </dxf>
    <dxf>
      <numFmt numFmtId="0" formatCode="General"/>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0" formatCode="dd/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righ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4.xml"/><Relationship Id="rId18" Type="http://schemas.microsoft.com/office/2007/relationships/slicerCache" Target="slicerCaches/slicerCache9.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11/relationships/timelineCache" Target="timelineCaches/timeline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styles" Target="styles.xml"/><Relationship Id="rId10" Type="http://schemas.microsoft.com/office/2007/relationships/slicerCache" Target="slicerCaches/slicerCache1.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Australia</c:v>
              </c:pt>
              <c:pt idx="1">
                <c:v>Canada</c:v>
              </c:pt>
              <c:pt idx="2">
                <c:v>India</c:v>
              </c:pt>
              <c:pt idx="3">
                <c:v>UK</c:v>
              </c:pt>
              <c:pt idx="4">
                <c:v>USA</c:v>
              </c:pt>
            </c:strLit>
          </c:cat>
          <c:val>
            <c:numLit>
              <c:formatCode>General</c:formatCode>
              <c:ptCount val="5"/>
              <c:pt idx="0">
                <c:v>156000</c:v>
              </c:pt>
              <c:pt idx="1">
                <c:v>250000</c:v>
              </c:pt>
              <c:pt idx="2">
                <c:v>841000</c:v>
              </c:pt>
              <c:pt idx="3">
                <c:v>341000</c:v>
              </c:pt>
              <c:pt idx="4">
                <c:v>462000</c:v>
              </c:pt>
            </c:numLit>
          </c:val>
          <c:extLst>
            <c:ext xmlns:c16="http://schemas.microsoft.com/office/drawing/2014/chart" uri="{C3380CC4-5D6E-409C-BE32-E72D297353CC}">
              <c16:uniqueId val="{00000000-7D49-4A7D-B98E-FB96283136FF}"/>
            </c:ext>
          </c:extLst>
        </c:ser>
        <c:dLbls>
          <c:showLegendKey val="0"/>
          <c:showVal val="0"/>
          <c:showCatName val="0"/>
          <c:showSerName val="0"/>
          <c:showPercent val="0"/>
          <c:showBubbleSize val="0"/>
        </c:dLbls>
        <c:gapWidth val="219"/>
        <c:overlap val="-27"/>
        <c:axId val="748810232"/>
        <c:axId val="748810560"/>
      </c:barChart>
      <c:catAx>
        <c:axId val="748810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810560"/>
        <c:crosses val="autoZero"/>
        <c:auto val="1"/>
        <c:lblAlgn val="ctr"/>
        <c:lblOffset val="100"/>
        <c:noMultiLvlLbl val="0"/>
      </c:catAx>
      <c:valAx>
        <c:axId val="748810560"/>
        <c:scaling>
          <c:orientation val="minMax"/>
        </c:scaling>
        <c:delete val="1"/>
        <c:axPos val="l"/>
        <c:numFmt formatCode="General" sourceLinked="1"/>
        <c:majorTickMark val="none"/>
        <c:minorTickMark val="none"/>
        <c:tickLblPos val="nextTo"/>
        <c:crossAx val="748810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pivotFmt>
    </c:pivotFmts>
    <c:plotArea>
      <c:layout>
        <c:manualLayout>
          <c:layoutTarget val="inner"/>
          <c:xMode val="edge"/>
          <c:yMode val="edge"/>
          <c:x val="4.0736383536875434E-2"/>
          <c:y val="0.24123564881344409"/>
          <c:w val="0.93106150478374927"/>
          <c:h val="0.6078813863996485"/>
        </c:manualLayout>
      </c:layout>
      <c:lineChart>
        <c:grouping val="standard"/>
        <c:varyColors val="0"/>
        <c:ser>
          <c:idx val="0"/>
          <c:order val="0"/>
          <c:tx>
            <c:v>Total</c:v>
          </c:tx>
          <c:spPr>
            <a:ln w="28575" cap="rnd">
              <a:solidFill>
                <a:schemeClr val="accent6"/>
              </a:solidFill>
              <a:round/>
            </a:ln>
            <a:effectLst/>
          </c:spPr>
          <c:marker>
            <c:symbol val="none"/>
          </c:marker>
          <c:cat>
            <c:strLit>
              <c:ptCount val="10"/>
              <c:pt idx="0">
                <c:v>Jan</c:v>
              </c:pt>
              <c:pt idx="1">
                <c:v>Feb</c:v>
              </c:pt>
              <c:pt idx="2">
                <c:v>Mar</c:v>
              </c:pt>
              <c:pt idx="3">
                <c:v>Apr</c:v>
              </c:pt>
              <c:pt idx="4">
                <c:v>May</c:v>
              </c:pt>
              <c:pt idx="5">
                <c:v>Jun</c:v>
              </c:pt>
              <c:pt idx="6">
                <c:v>Jul</c:v>
              </c:pt>
              <c:pt idx="7">
                <c:v>Aug</c:v>
              </c:pt>
              <c:pt idx="8">
                <c:v>Sep</c:v>
              </c:pt>
              <c:pt idx="9">
                <c:v>Oct</c:v>
              </c:pt>
            </c:strLit>
          </c:cat>
          <c:val>
            <c:numLit>
              <c:formatCode>General</c:formatCode>
              <c:ptCount val="10"/>
              <c:pt idx="0">
                <c:v>148000</c:v>
              </c:pt>
              <c:pt idx="1">
                <c:v>169000</c:v>
              </c:pt>
              <c:pt idx="2">
                <c:v>210000</c:v>
              </c:pt>
              <c:pt idx="3">
                <c:v>182000</c:v>
              </c:pt>
              <c:pt idx="4">
                <c:v>215000</c:v>
              </c:pt>
              <c:pt idx="5">
                <c:v>211000</c:v>
              </c:pt>
              <c:pt idx="6">
                <c:v>239000</c:v>
              </c:pt>
              <c:pt idx="7">
                <c:v>216000</c:v>
              </c:pt>
              <c:pt idx="8">
                <c:v>228000</c:v>
              </c:pt>
              <c:pt idx="9">
                <c:v>232000</c:v>
              </c:pt>
            </c:numLit>
          </c:val>
          <c:smooth val="0"/>
          <c:extLst>
            <c:ext xmlns:c16="http://schemas.microsoft.com/office/drawing/2014/chart" uri="{C3380CC4-5D6E-409C-BE32-E72D297353CC}">
              <c16:uniqueId val="{00000000-3911-457F-964A-66DDFB9BE8B3}"/>
            </c:ext>
          </c:extLst>
        </c:ser>
        <c:dLbls>
          <c:showLegendKey val="0"/>
          <c:showVal val="0"/>
          <c:showCatName val="0"/>
          <c:showSerName val="0"/>
          <c:showPercent val="0"/>
          <c:showBubbleSize val="0"/>
        </c:dLbls>
        <c:smooth val="0"/>
        <c:axId val="900906464"/>
        <c:axId val="900904496"/>
      </c:lineChart>
      <c:catAx>
        <c:axId val="90090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904496"/>
        <c:crosses val="autoZero"/>
        <c:auto val="1"/>
        <c:lblAlgn val="ctr"/>
        <c:lblOffset val="100"/>
        <c:noMultiLvlLbl val="0"/>
      </c:catAx>
      <c:valAx>
        <c:axId val="900904496"/>
        <c:scaling>
          <c:orientation val="minMax"/>
        </c:scaling>
        <c:delete val="1"/>
        <c:axPos val="l"/>
        <c:numFmt formatCode="General" sourceLinked="1"/>
        <c:majorTickMark val="none"/>
        <c:minorTickMark val="none"/>
        <c:tickLblPos val="nextTo"/>
        <c:crossAx val="900906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Sales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Priya</c:v>
              </c:pt>
              <c:pt idx="1">
                <c:v>Anu</c:v>
              </c:pt>
              <c:pt idx="2">
                <c:v>Rahul</c:v>
              </c:pt>
              <c:pt idx="3">
                <c:v>Alekhya</c:v>
              </c:pt>
            </c:strLit>
          </c:cat>
          <c:val>
            <c:numLit>
              <c:formatCode>General</c:formatCode>
              <c:ptCount val="4"/>
              <c:pt idx="0">
                <c:v>434000</c:v>
              </c:pt>
              <c:pt idx="1">
                <c:v>472000</c:v>
              </c:pt>
              <c:pt idx="2">
                <c:v>549000</c:v>
              </c:pt>
              <c:pt idx="3">
                <c:v>595000</c:v>
              </c:pt>
            </c:numLit>
          </c:val>
          <c:extLst>
            <c:ext xmlns:c16="http://schemas.microsoft.com/office/drawing/2014/chart" uri="{C3380CC4-5D6E-409C-BE32-E72D297353CC}">
              <c16:uniqueId val="{00000000-AE86-4854-A1E8-337A798E6659}"/>
            </c:ext>
          </c:extLst>
        </c:ser>
        <c:dLbls>
          <c:showLegendKey val="0"/>
          <c:showVal val="0"/>
          <c:showCatName val="0"/>
          <c:showSerName val="0"/>
          <c:showPercent val="0"/>
          <c:showBubbleSize val="0"/>
        </c:dLbls>
        <c:gapWidth val="182"/>
        <c:axId val="901540216"/>
        <c:axId val="892877032"/>
      </c:barChart>
      <c:catAx>
        <c:axId val="901540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877032"/>
        <c:crosses val="autoZero"/>
        <c:auto val="1"/>
        <c:lblAlgn val="ctr"/>
        <c:lblOffset val="100"/>
        <c:noMultiLvlLbl val="0"/>
      </c:catAx>
      <c:valAx>
        <c:axId val="892877032"/>
        <c:scaling>
          <c:orientation val="minMax"/>
        </c:scaling>
        <c:delete val="1"/>
        <c:axPos val="b"/>
        <c:numFmt formatCode="General" sourceLinked="1"/>
        <c:majorTickMark val="none"/>
        <c:minorTickMark val="none"/>
        <c:tickLblPos val="nextTo"/>
        <c:crossAx val="901540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category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s>
    <c:plotArea>
      <c:layout/>
      <c:doughnutChart>
        <c:varyColors val="1"/>
        <c:ser>
          <c:idx val="0"/>
          <c:order val="0"/>
          <c:tx>
            <c:v>Total</c:v>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316-4D8D-8E96-C078334B61C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316-4D8D-8E96-C078334B61C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F316-4D8D-8E96-C078334B61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Electronics</c:v>
              </c:pt>
              <c:pt idx="1">
                <c:v>Furniture</c:v>
              </c:pt>
              <c:pt idx="2">
                <c:v>Office Supplies</c:v>
              </c:pt>
            </c:strLit>
          </c:cat>
          <c:val>
            <c:numLit>
              <c:formatCode>General</c:formatCode>
              <c:ptCount val="3"/>
              <c:pt idx="0">
                <c:v>0.55707317073170737</c:v>
              </c:pt>
              <c:pt idx="1">
                <c:v>0.26682926829268294</c:v>
              </c:pt>
              <c:pt idx="2">
                <c:v>0.17609756097560975</c:v>
              </c:pt>
            </c:numLit>
          </c:val>
          <c:extLst>
            <c:ext xmlns:c16="http://schemas.microsoft.com/office/drawing/2014/chart" uri="{C3380CC4-5D6E-409C-BE32-E72D297353CC}">
              <c16:uniqueId val="{00000006-F316-4D8D-8E96-C078334B61C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pivotFmt>
      <c:pivotFmt>
        <c:idx val="1"/>
        <c:spPr>
          <a:solidFill>
            <a:schemeClr val="accent6"/>
          </a:solidFill>
          <a:ln w="28575" cap="rnd">
            <a:solidFill>
              <a:schemeClr val="accent6"/>
            </a:solidFill>
            <a:round/>
          </a:ln>
          <a:effectLst/>
        </c:spPr>
        <c:marker>
          <c:symbol val="none"/>
        </c:marker>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649423273129433E-2"/>
          <c:y val="0.24123557419644157"/>
          <c:w val="0.93106150478374927"/>
          <c:h val="0.6078813863996485"/>
        </c:manualLayout>
      </c:layout>
      <c:lineChart>
        <c:grouping val="standard"/>
        <c:varyColors val="0"/>
        <c:ser>
          <c:idx val="0"/>
          <c:order val="0"/>
          <c:tx>
            <c:v>Total</c:v>
          </c:tx>
          <c:spPr>
            <a:ln w="28575" cap="rnd">
              <a:solidFill>
                <a:schemeClr val="accent6"/>
              </a:solidFill>
              <a:round/>
            </a:ln>
            <a:effectLst/>
          </c:spPr>
          <c:marker>
            <c:symbol val="none"/>
          </c:marker>
          <c:cat>
            <c:strLit>
              <c:ptCount val="10"/>
              <c:pt idx="0">
                <c:v>Jan</c:v>
              </c:pt>
              <c:pt idx="1">
                <c:v>Feb</c:v>
              </c:pt>
              <c:pt idx="2">
                <c:v>Mar</c:v>
              </c:pt>
              <c:pt idx="3">
                <c:v>Apr</c:v>
              </c:pt>
              <c:pt idx="4">
                <c:v>May</c:v>
              </c:pt>
              <c:pt idx="5">
                <c:v>Jun</c:v>
              </c:pt>
              <c:pt idx="6">
                <c:v>Jul</c:v>
              </c:pt>
              <c:pt idx="7">
                <c:v>Aug</c:v>
              </c:pt>
              <c:pt idx="8">
                <c:v>Sep</c:v>
              </c:pt>
              <c:pt idx="9">
                <c:v>Oct</c:v>
              </c:pt>
            </c:strLit>
          </c:cat>
          <c:val>
            <c:numLit>
              <c:formatCode>General</c:formatCode>
              <c:ptCount val="10"/>
              <c:pt idx="0">
                <c:v>148000</c:v>
              </c:pt>
              <c:pt idx="1">
                <c:v>169000</c:v>
              </c:pt>
              <c:pt idx="2">
                <c:v>210000</c:v>
              </c:pt>
              <c:pt idx="3">
                <c:v>182000</c:v>
              </c:pt>
              <c:pt idx="4">
                <c:v>215000</c:v>
              </c:pt>
              <c:pt idx="5">
                <c:v>211000</c:v>
              </c:pt>
              <c:pt idx="6">
                <c:v>239000</c:v>
              </c:pt>
              <c:pt idx="7">
                <c:v>216000</c:v>
              </c:pt>
              <c:pt idx="8">
                <c:v>228000</c:v>
              </c:pt>
              <c:pt idx="9">
                <c:v>232000</c:v>
              </c:pt>
            </c:numLit>
          </c:val>
          <c:smooth val="0"/>
          <c:extLst>
            <c:ext xmlns:c16="http://schemas.microsoft.com/office/drawing/2014/chart" uri="{C3380CC4-5D6E-409C-BE32-E72D297353CC}">
              <c16:uniqueId val="{00000000-AEDF-4EE6-93DB-9E512E4DF997}"/>
            </c:ext>
          </c:extLst>
        </c:ser>
        <c:dLbls>
          <c:showLegendKey val="0"/>
          <c:showVal val="0"/>
          <c:showCatName val="0"/>
          <c:showSerName val="0"/>
          <c:showPercent val="0"/>
          <c:showBubbleSize val="0"/>
        </c:dLbls>
        <c:smooth val="0"/>
        <c:axId val="900906464"/>
        <c:axId val="900904496"/>
      </c:lineChart>
      <c:catAx>
        <c:axId val="90090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904496"/>
        <c:crosses val="autoZero"/>
        <c:auto val="1"/>
        <c:lblAlgn val="ctr"/>
        <c:lblOffset val="100"/>
        <c:noMultiLvlLbl val="0"/>
      </c:catAx>
      <c:valAx>
        <c:axId val="900904496"/>
        <c:scaling>
          <c:orientation val="minMax"/>
        </c:scaling>
        <c:delete val="1"/>
        <c:axPos val="l"/>
        <c:numFmt formatCode="General" sourceLinked="1"/>
        <c:majorTickMark val="none"/>
        <c:minorTickMark val="none"/>
        <c:tickLblPos val="nextTo"/>
        <c:crossAx val="900906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Sales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Priya</c:v>
              </c:pt>
              <c:pt idx="1">
                <c:v>Anu</c:v>
              </c:pt>
              <c:pt idx="2">
                <c:v>Rahul</c:v>
              </c:pt>
              <c:pt idx="3">
                <c:v>Alekhya</c:v>
              </c:pt>
            </c:strLit>
          </c:cat>
          <c:val>
            <c:numLit>
              <c:formatCode>General</c:formatCode>
              <c:ptCount val="4"/>
              <c:pt idx="0">
                <c:v>434000</c:v>
              </c:pt>
              <c:pt idx="1">
                <c:v>472000</c:v>
              </c:pt>
              <c:pt idx="2">
                <c:v>549000</c:v>
              </c:pt>
              <c:pt idx="3">
                <c:v>595000</c:v>
              </c:pt>
            </c:numLit>
          </c:val>
          <c:extLst>
            <c:ext xmlns:c16="http://schemas.microsoft.com/office/drawing/2014/chart" uri="{C3380CC4-5D6E-409C-BE32-E72D297353CC}">
              <c16:uniqueId val="{00000000-BD5A-40E7-B2FC-2BBA127EB35E}"/>
            </c:ext>
          </c:extLst>
        </c:ser>
        <c:dLbls>
          <c:showLegendKey val="0"/>
          <c:showVal val="0"/>
          <c:showCatName val="0"/>
          <c:showSerName val="0"/>
          <c:showPercent val="0"/>
          <c:showBubbleSize val="0"/>
        </c:dLbls>
        <c:gapWidth val="182"/>
        <c:axId val="901540216"/>
        <c:axId val="892877032"/>
      </c:barChart>
      <c:catAx>
        <c:axId val="901540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877032"/>
        <c:crosses val="autoZero"/>
        <c:auto val="1"/>
        <c:lblAlgn val="ctr"/>
        <c:lblOffset val="100"/>
        <c:noMultiLvlLbl val="0"/>
      </c:catAx>
      <c:valAx>
        <c:axId val="892877032"/>
        <c:scaling>
          <c:orientation val="minMax"/>
        </c:scaling>
        <c:delete val="1"/>
        <c:axPos val="b"/>
        <c:numFmt formatCode="General" sourceLinked="1"/>
        <c:majorTickMark val="none"/>
        <c:minorTickMark val="none"/>
        <c:tickLblPos val="nextTo"/>
        <c:crossAx val="901540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Country</a:t>
            </a:r>
            <a:r>
              <a:rPr lang="en-US" b="1" baseline="0"/>
              <a:t> wise Sales</a:t>
            </a:r>
            <a:endParaRPr lang="en-US" b="1"/>
          </a:p>
        </c:rich>
      </c:tx>
      <c:layout>
        <c:manualLayout>
          <c:xMode val="edge"/>
          <c:yMode val="edge"/>
          <c:x val="0.30289221480902673"/>
          <c:y val="3.84615578748020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Australia</c:v>
              </c:pt>
              <c:pt idx="1">
                <c:v>Canada</c:v>
              </c:pt>
              <c:pt idx="2">
                <c:v>India</c:v>
              </c:pt>
              <c:pt idx="3">
                <c:v>UK</c:v>
              </c:pt>
              <c:pt idx="4">
                <c:v>USA</c:v>
              </c:pt>
            </c:strLit>
          </c:cat>
          <c:val>
            <c:numLit>
              <c:formatCode>General</c:formatCode>
              <c:ptCount val="5"/>
              <c:pt idx="0">
                <c:v>156000</c:v>
              </c:pt>
              <c:pt idx="1">
                <c:v>250000</c:v>
              </c:pt>
              <c:pt idx="2">
                <c:v>841000</c:v>
              </c:pt>
              <c:pt idx="3">
                <c:v>341000</c:v>
              </c:pt>
              <c:pt idx="4">
                <c:v>462000</c:v>
              </c:pt>
            </c:numLit>
          </c:val>
          <c:extLst>
            <c:ext xmlns:c16="http://schemas.microsoft.com/office/drawing/2014/chart" uri="{C3380CC4-5D6E-409C-BE32-E72D297353CC}">
              <c16:uniqueId val="{00000000-FF14-4D8A-86E8-81B6D9E74279}"/>
            </c:ext>
          </c:extLst>
        </c:ser>
        <c:dLbls>
          <c:showLegendKey val="0"/>
          <c:showVal val="0"/>
          <c:showCatName val="0"/>
          <c:showSerName val="0"/>
          <c:showPercent val="0"/>
          <c:showBubbleSize val="0"/>
        </c:dLbls>
        <c:gapWidth val="219"/>
        <c:overlap val="-27"/>
        <c:axId val="748810232"/>
        <c:axId val="748810560"/>
      </c:barChart>
      <c:catAx>
        <c:axId val="748810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810560"/>
        <c:crosses val="autoZero"/>
        <c:auto val="1"/>
        <c:lblAlgn val="ctr"/>
        <c:lblOffset val="100"/>
        <c:noMultiLvlLbl val="0"/>
      </c:catAx>
      <c:valAx>
        <c:axId val="748810560"/>
        <c:scaling>
          <c:orientation val="minMax"/>
        </c:scaling>
        <c:delete val="1"/>
        <c:axPos val="l"/>
        <c:numFmt formatCode="General" sourceLinked="1"/>
        <c:majorTickMark val="none"/>
        <c:minorTickMark val="none"/>
        <c:tickLblPos val="nextTo"/>
        <c:crossAx val="748810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3">
          <a:lumMod val="40000"/>
          <a:lumOff val="6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category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s>
    <c:plotArea>
      <c:layout>
        <c:manualLayout>
          <c:layoutTarget val="inner"/>
          <c:xMode val="edge"/>
          <c:yMode val="edge"/>
          <c:x val="0.14218369946566736"/>
          <c:y val="0.24741111906466237"/>
          <c:w val="0.41312884704475"/>
          <c:h val="0.62699594368885725"/>
        </c:manualLayout>
      </c:layout>
      <c:doughnutChart>
        <c:varyColors val="1"/>
        <c:ser>
          <c:idx val="0"/>
          <c:order val="0"/>
          <c:tx>
            <c:v>Total</c:v>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BFF-47D6-A2A7-6E1FCB0D028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6BFF-47D6-A2A7-6E1FCB0D0284}"/>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6BFF-47D6-A2A7-6E1FCB0D02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Electronics</c:v>
              </c:pt>
              <c:pt idx="1">
                <c:v>Furniture</c:v>
              </c:pt>
              <c:pt idx="2">
                <c:v>Office Supplies</c:v>
              </c:pt>
            </c:strLit>
          </c:cat>
          <c:val>
            <c:numLit>
              <c:formatCode>General</c:formatCode>
              <c:ptCount val="3"/>
              <c:pt idx="0">
                <c:v>0.55707317073170737</c:v>
              </c:pt>
              <c:pt idx="1">
                <c:v>0.26682926829268294</c:v>
              </c:pt>
              <c:pt idx="2">
                <c:v>0.17609756097560975</c:v>
              </c:pt>
            </c:numLit>
          </c:val>
          <c:extLst>
            <c:ext xmlns:c16="http://schemas.microsoft.com/office/drawing/2014/chart" uri="{C3380CC4-5D6E-409C-BE32-E72D297353CC}">
              <c16:uniqueId val="{00000006-6BFF-47D6-A2A7-6E1FCB0D028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3537719468029141"/>
          <c:y val="0.41738911423950792"/>
          <c:w val="0.31137820367248004"/>
          <c:h val="0.340911476974469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438151</xdr:colOff>
      <xdr:row>0</xdr:row>
      <xdr:rowOff>9525</xdr:rowOff>
    </xdr:from>
    <xdr:to>
      <xdr:col>8</xdr:col>
      <xdr:colOff>438151</xdr:colOff>
      <xdr:row>3</xdr:row>
      <xdr:rowOff>19049</xdr:rowOff>
    </xdr:to>
    <xdr:sp macro="" textlink="">
      <xdr:nvSpPr>
        <xdr:cNvPr id="2" name="Rectangle: Rounded Corners 1">
          <a:extLst>
            <a:ext uri="{FF2B5EF4-FFF2-40B4-BE49-F238E27FC236}">
              <a16:creationId xmlns:a16="http://schemas.microsoft.com/office/drawing/2014/main" id="{61034DFC-3AF3-49F2-B2F2-A5F6FB95756F}"/>
            </a:ext>
          </a:extLst>
        </xdr:cNvPr>
        <xdr:cNvSpPr/>
      </xdr:nvSpPr>
      <xdr:spPr>
        <a:xfrm>
          <a:off x="438151" y="9525"/>
          <a:ext cx="13354050" cy="723899"/>
        </a:xfrm>
        <a:prstGeom prst="roundRect">
          <a:avLst/>
        </a:prstGeom>
        <a:solidFill>
          <a:schemeClr val="accent6">
            <a:lumMod val="20000"/>
            <a:lumOff val="8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chemeClr val="tx1"/>
              </a:solidFill>
            </a:rPr>
            <a:t>Sales</a:t>
          </a:r>
          <a:r>
            <a:rPr lang="en-IN" sz="3200" b="1" baseline="0">
              <a:solidFill>
                <a:schemeClr val="tx1"/>
              </a:solidFill>
            </a:rPr>
            <a:t> Analysis</a:t>
          </a:r>
          <a:endParaRPr lang="en-IN" sz="32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19052</xdr:colOff>
      <xdr:row>38</xdr:row>
      <xdr:rowOff>57150</xdr:rowOff>
    </xdr:from>
    <xdr:to>
      <xdr:col>3</xdr:col>
      <xdr:colOff>657225</xdr:colOff>
      <xdr:row>41</xdr:row>
      <xdr:rowOff>104776</xdr:rowOff>
    </xdr:to>
    <mc:AlternateContent xmlns:mc="http://schemas.openxmlformats.org/markup-compatibility/2006">
      <mc:Choice xmlns:a14="http://schemas.microsoft.com/office/drawing/2010/main" Requires="a14">
        <xdr:graphicFrame macro="">
          <xdr:nvGraphicFramePr>
            <xdr:cNvPr id="5" name="Sales Person">
              <a:extLst>
                <a:ext uri="{FF2B5EF4-FFF2-40B4-BE49-F238E27FC236}">
                  <a16:creationId xmlns:a16="http://schemas.microsoft.com/office/drawing/2014/main" id="{DF0D2C6C-5B22-4E0D-AE87-AA4DF7496673}"/>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19052" y="7296150"/>
              <a:ext cx="3200398" cy="619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685796</xdr:colOff>
      <xdr:row>38</xdr:row>
      <xdr:rowOff>28577</xdr:rowOff>
    </xdr:from>
    <xdr:to>
      <xdr:col>7</xdr:col>
      <xdr:colOff>542924</xdr:colOff>
      <xdr:row>41</xdr:row>
      <xdr:rowOff>104775</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E6FF9AC1-27E2-4D19-824C-AA77F781CCF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248021" y="7267577"/>
              <a:ext cx="3562353" cy="647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590548</xdr:colOff>
      <xdr:row>38</xdr:row>
      <xdr:rowOff>47626</xdr:rowOff>
    </xdr:from>
    <xdr:to>
      <xdr:col>11</xdr:col>
      <xdr:colOff>285749</xdr:colOff>
      <xdr:row>41</xdr:row>
      <xdr:rowOff>142876</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2F567208-6A70-42DF-A7B1-BAA11A492F8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857998" y="7286626"/>
              <a:ext cx="2800351" cy="66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26</xdr:row>
      <xdr:rowOff>133351</xdr:rowOff>
    </xdr:from>
    <xdr:to>
      <xdr:col>3</xdr:col>
      <xdr:colOff>723900</xdr:colOff>
      <xdr:row>37</xdr:row>
      <xdr:rowOff>19050</xdr:rowOff>
    </xdr:to>
    <xdr:graphicFrame macro="">
      <xdr:nvGraphicFramePr>
        <xdr:cNvPr id="8" name="Chart 7">
          <a:extLst>
            <a:ext uri="{FF2B5EF4-FFF2-40B4-BE49-F238E27FC236}">
              <a16:creationId xmlns:a16="http://schemas.microsoft.com/office/drawing/2014/main" id="{1B1FDA46-31E9-4064-8E5E-5E05A1583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752475</xdr:colOff>
      <xdr:row>26</xdr:row>
      <xdr:rowOff>142875</xdr:rowOff>
    </xdr:from>
    <xdr:to>
      <xdr:col>7</xdr:col>
      <xdr:colOff>19050</xdr:colOff>
      <xdr:row>36</xdr:row>
      <xdr:rowOff>152400</xdr:rowOff>
    </xdr:to>
    <xdr:graphicFrame macro="">
      <xdr:nvGraphicFramePr>
        <xdr:cNvPr id="9" name="Chart 8">
          <a:extLst>
            <a:ext uri="{FF2B5EF4-FFF2-40B4-BE49-F238E27FC236}">
              <a16:creationId xmlns:a16="http://schemas.microsoft.com/office/drawing/2014/main" id="{BBB33905-87B3-4D30-858E-025EE299F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26</xdr:row>
      <xdr:rowOff>114300</xdr:rowOff>
    </xdr:from>
    <xdr:to>
      <xdr:col>11</xdr:col>
      <xdr:colOff>209551</xdr:colOff>
      <xdr:row>36</xdr:row>
      <xdr:rowOff>142875</xdr:rowOff>
    </xdr:to>
    <xdr:graphicFrame macro="">
      <xdr:nvGraphicFramePr>
        <xdr:cNvPr id="10" name="Chart 9">
          <a:extLst>
            <a:ext uri="{FF2B5EF4-FFF2-40B4-BE49-F238E27FC236}">
              <a16:creationId xmlns:a16="http://schemas.microsoft.com/office/drawing/2014/main" id="{3D0F4CE5-03CF-4013-8AEE-6806E815D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195263</xdr:colOff>
      <xdr:row>26</xdr:row>
      <xdr:rowOff>142875</xdr:rowOff>
    </xdr:from>
    <xdr:to>
      <xdr:col>15</xdr:col>
      <xdr:colOff>228600</xdr:colOff>
      <xdr:row>36</xdr:row>
      <xdr:rowOff>142875</xdr:rowOff>
    </xdr:to>
    <xdr:graphicFrame macro="">
      <xdr:nvGraphicFramePr>
        <xdr:cNvPr id="11" name="Chart 10">
          <a:extLst>
            <a:ext uri="{FF2B5EF4-FFF2-40B4-BE49-F238E27FC236}">
              <a16:creationId xmlns:a16="http://schemas.microsoft.com/office/drawing/2014/main" id="{8576C64B-C489-4461-B271-38C201553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19050</xdr:colOff>
      <xdr:row>38</xdr:row>
      <xdr:rowOff>57150</xdr:rowOff>
    </xdr:from>
    <xdr:to>
      <xdr:col>3</xdr:col>
      <xdr:colOff>523874</xdr:colOff>
      <xdr:row>41</xdr:row>
      <xdr:rowOff>104776</xdr:rowOff>
    </xdr:to>
    <mc:AlternateContent xmlns:mc="http://schemas.openxmlformats.org/markup-compatibility/2006">
      <mc:Choice xmlns:a14="http://schemas.microsoft.com/office/drawing/2010/main" Requires="a14">
        <xdr:graphicFrame macro="">
          <xdr:nvGraphicFramePr>
            <xdr:cNvPr id="12" name="Sales Person 1">
              <a:extLst>
                <a:ext uri="{FF2B5EF4-FFF2-40B4-BE49-F238E27FC236}">
                  <a16:creationId xmlns:a16="http://schemas.microsoft.com/office/drawing/2014/main" id="{4DEED3CD-3523-40C7-BDE7-19876816E84E}"/>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dr:sp macro="" textlink="">
          <xdr:nvSpPr>
            <xdr:cNvPr id="0" name=""/>
            <xdr:cNvSpPr>
              <a:spLocks noTextEdit="1"/>
            </xdr:cNvSpPr>
          </xdr:nvSpPr>
          <xdr:spPr>
            <a:xfrm>
              <a:off x="19050" y="7296150"/>
              <a:ext cx="3067049" cy="619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600071</xdr:colOff>
      <xdr:row>38</xdr:row>
      <xdr:rowOff>66677</xdr:rowOff>
    </xdr:from>
    <xdr:to>
      <xdr:col>7</xdr:col>
      <xdr:colOff>619125</xdr:colOff>
      <xdr:row>41</xdr:row>
      <xdr:rowOff>142875</xdr:rowOff>
    </xdr:to>
    <mc:AlternateContent xmlns:mc="http://schemas.openxmlformats.org/markup-compatibility/2006">
      <mc:Choice xmlns:a14="http://schemas.microsoft.com/office/drawing/2010/main" Requires="a14">
        <xdr:graphicFrame macro="">
          <xdr:nvGraphicFramePr>
            <xdr:cNvPr id="13" name="Country 1">
              <a:extLst>
                <a:ext uri="{FF2B5EF4-FFF2-40B4-BE49-F238E27FC236}">
                  <a16:creationId xmlns:a16="http://schemas.microsoft.com/office/drawing/2014/main" id="{5A3C8293-A26E-4CB9-832D-014A12E1C55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3162296" y="7305677"/>
              <a:ext cx="3724279" cy="647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609599</xdr:colOff>
      <xdr:row>38</xdr:row>
      <xdr:rowOff>9526</xdr:rowOff>
    </xdr:from>
    <xdr:to>
      <xdr:col>12</xdr:col>
      <xdr:colOff>485775</xdr:colOff>
      <xdr:row>41</xdr:row>
      <xdr:rowOff>104776</xdr:rowOff>
    </xdr:to>
    <mc:AlternateContent xmlns:mc="http://schemas.openxmlformats.org/markup-compatibility/2006">
      <mc:Choice xmlns:a14="http://schemas.microsoft.com/office/drawing/2010/main" Requires="a14">
        <xdr:graphicFrame macro="">
          <xdr:nvGraphicFramePr>
            <xdr:cNvPr id="14" name="Category 1">
              <a:extLst>
                <a:ext uri="{FF2B5EF4-FFF2-40B4-BE49-F238E27FC236}">
                  <a16:creationId xmlns:a16="http://schemas.microsoft.com/office/drawing/2014/main" id="{DCA81242-8C9F-4DBC-8E5D-85EBC6A5F3E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877049" y="7248526"/>
              <a:ext cx="3590926" cy="66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514350</xdr:colOff>
      <xdr:row>37</xdr:row>
      <xdr:rowOff>19050</xdr:rowOff>
    </xdr:from>
    <xdr:to>
      <xdr:col>18</xdr:col>
      <xdr:colOff>247650</xdr:colOff>
      <xdr:row>42</xdr:row>
      <xdr:rowOff>65913</xdr:rowOff>
    </xdr:to>
    <mc:AlternateContent xmlns:mc="http://schemas.openxmlformats.org/markup-compatibility/2006">
      <mc:Choice xmlns:tsle="http://schemas.microsoft.com/office/drawing/2012/timeslicer" Requires="tsle">
        <xdr:graphicFrame macro="">
          <xdr:nvGraphicFramePr>
            <xdr:cNvPr id="15" name="Order Date">
              <a:extLst>
                <a:ext uri="{FF2B5EF4-FFF2-40B4-BE49-F238E27FC236}">
                  <a16:creationId xmlns:a16="http://schemas.microsoft.com/office/drawing/2014/main" id="{8FACB725-2ECE-462D-BF2A-7928B995117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0496550" y="7067550"/>
              <a:ext cx="3695700" cy="99936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2724151</xdr:colOff>
      <xdr:row>6</xdr:row>
      <xdr:rowOff>47625</xdr:rowOff>
    </xdr:from>
    <xdr:to>
      <xdr:col>3</xdr:col>
      <xdr:colOff>2638425</xdr:colOff>
      <xdr:row>8</xdr:row>
      <xdr:rowOff>285751</xdr:rowOff>
    </xdr:to>
    <mc:AlternateContent xmlns:mc="http://schemas.openxmlformats.org/markup-compatibility/2006">
      <mc:Choice xmlns:tsle="http://schemas.microsoft.com/office/drawing/2012/timeslicer" Requires="tsle">
        <xdr:graphicFrame macro="">
          <xdr:nvGraphicFramePr>
            <xdr:cNvPr id="2" name="Order Date 1">
              <a:extLst>
                <a:ext uri="{FF2B5EF4-FFF2-40B4-BE49-F238E27FC236}">
                  <a16:creationId xmlns:a16="http://schemas.microsoft.com/office/drawing/2014/main" id="{FE6344E4-A4B0-4B01-A34E-B8BF4CDDDBD7}"/>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3238501" y="1676400"/>
              <a:ext cx="2886074" cy="10382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0</xdr:row>
      <xdr:rowOff>1</xdr:rowOff>
    </xdr:from>
    <xdr:to>
      <xdr:col>8</xdr:col>
      <xdr:colOff>828674</xdr:colOff>
      <xdr:row>1</xdr:row>
      <xdr:rowOff>190501</xdr:rowOff>
    </xdr:to>
    <xdr:sp macro="" textlink="">
      <xdr:nvSpPr>
        <xdr:cNvPr id="3" name="Rectangle: Rounded Corners 2">
          <a:extLst>
            <a:ext uri="{FF2B5EF4-FFF2-40B4-BE49-F238E27FC236}">
              <a16:creationId xmlns:a16="http://schemas.microsoft.com/office/drawing/2014/main" id="{6366AFD6-36F4-4A73-8BF4-3D81B5930AE6}"/>
            </a:ext>
          </a:extLst>
        </xdr:cNvPr>
        <xdr:cNvSpPr/>
      </xdr:nvSpPr>
      <xdr:spPr>
        <a:xfrm>
          <a:off x="0" y="1"/>
          <a:ext cx="12925424" cy="590550"/>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Sales</a:t>
          </a:r>
          <a:r>
            <a:rPr lang="en-IN" sz="2800" b="1" baseline="0">
              <a:solidFill>
                <a:schemeClr val="tx1"/>
              </a:solidFill>
            </a:rPr>
            <a:t> Analysis Dashboard</a:t>
          </a:r>
          <a:endParaRPr lang="en-IN" sz="2800" b="1">
            <a:solidFill>
              <a:schemeClr val="tx1"/>
            </a:solidFill>
          </a:endParaRPr>
        </a:p>
      </xdr:txBody>
    </xdr:sp>
    <xdr:clientData/>
  </xdr:twoCellAnchor>
  <xdr:twoCellAnchor>
    <xdr:from>
      <xdr:col>2</xdr:col>
      <xdr:colOff>38100</xdr:colOff>
      <xdr:row>8</xdr:row>
      <xdr:rowOff>333375</xdr:rowOff>
    </xdr:from>
    <xdr:to>
      <xdr:col>4</xdr:col>
      <xdr:colOff>200025</xdr:colOff>
      <xdr:row>13</xdr:row>
      <xdr:rowOff>323850</xdr:rowOff>
    </xdr:to>
    <xdr:graphicFrame macro="">
      <xdr:nvGraphicFramePr>
        <xdr:cNvPr id="4" name="Chart 3">
          <a:extLst>
            <a:ext uri="{FF2B5EF4-FFF2-40B4-BE49-F238E27FC236}">
              <a16:creationId xmlns:a16="http://schemas.microsoft.com/office/drawing/2014/main" id="{B97A4A4D-5AD8-4353-958F-CD64307C4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200027</xdr:colOff>
      <xdr:row>8</xdr:row>
      <xdr:rowOff>304800</xdr:rowOff>
    </xdr:from>
    <xdr:to>
      <xdr:col>7</xdr:col>
      <xdr:colOff>114301</xdr:colOff>
      <xdr:row>13</xdr:row>
      <xdr:rowOff>314325</xdr:rowOff>
    </xdr:to>
    <xdr:graphicFrame macro="">
      <xdr:nvGraphicFramePr>
        <xdr:cNvPr id="5" name="Chart 4">
          <a:extLst>
            <a:ext uri="{FF2B5EF4-FFF2-40B4-BE49-F238E27FC236}">
              <a16:creationId xmlns:a16="http://schemas.microsoft.com/office/drawing/2014/main" id="{AA674A6A-3FFC-40EB-A8EA-61C7CD030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8</xdr:row>
      <xdr:rowOff>333375</xdr:rowOff>
    </xdr:from>
    <xdr:to>
      <xdr:col>2</xdr:col>
      <xdr:colOff>38099</xdr:colOff>
      <xdr:row>13</xdr:row>
      <xdr:rowOff>314325</xdr:rowOff>
    </xdr:to>
    <xdr:graphicFrame macro="">
      <xdr:nvGraphicFramePr>
        <xdr:cNvPr id="6" name="Chart 5">
          <a:extLst>
            <a:ext uri="{FF2B5EF4-FFF2-40B4-BE49-F238E27FC236}">
              <a16:creationId xmlns:a16="http://schemas.microsoft.com/office/drawing/2014/main" id="{252DA3B8-47F5-494E-B657-171567EBA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133350</xdr:colOff>
      <xdr:row>8</xdr:row>
      <xdr:rowOff>323850</xdr:rowOff>
    </xdr:from>
    <xdr:to>
      <xdr:col>8</xdr:col>
      <xdr:colOff>476250</xdr:colOff>
      <xdr:row>13</xdr:row>
      <xdr:rowOff>314326</xdr:rowOff>
    </xdr:to>
    <xdr:graphicFrame macro="">
      <xdr:nvGraphicFramePr>
        <xdr:cNvPr id="7" name="Chart 6">
          <a:extLst>
            <a:ext uri="{FF2B5EF4-FFF2-40B4-BE49-F238E27FC236}">
              <a16:creationId xmlns:a16="http://schemas.microsoft.com/office/drawing/2014/main" id="{179C49CC-DD7A-4EC2-B6E8-67AFD5C20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2638426</xdr:colOff>
      <xdr:row>6</xdr:row>
      <xdr:rowOff>66674</xdr:rowOff>
    </xdr:from>
    <xdr:to>
      <xdr:col>6</xdr:col>
      <xdr:colOff>133351</xdr:colOff>
      <xdr:row>8</xdr:row>
      <xdr:rowOff>285750</xdr:rowOff>
    </xdr:to>
    <mc:AlternateContent xmlns:mc="http://schemas.openxmlformats.org/markup-compatibility/2006">
      <mc:Choice xmlns:a14="http://schemas.microsoft.com/office/drawing/2010/main" Requires="a14">
        <xdr:graphicFrame macro="">
          <xdr:nvGraphicFramePr>
            <xdr:cNvPr id="8" name="Sales Person 2">
              <a:extLst>
                <a:ext uri="{FF2B5EF4-FFF2-40B4-BE49-F238E27FC236}">
                  <a16:creationId xmlns:a16="http://schemas.microsoft.com/office/drawing/2014/main" id="{CCD88F5A-34FD-4D15-9A95-03107838D910}"/>
                </a:ext>
              </a:extLst>
            </xdr:cNvPr>
            <xdr:cNvGraphicFramePr/>
          </xdr:nvGraphicFramePr>
          <xdr:xfrm>
            <a:off x="0" y="0"/>
            <a:ext cx="0" cy="0"/>
          </xdr:xfrm>
          <a:graphic>
            <a:graphicData uri="http://schemas.microsoft.com/office/drawing/2010/slicer">
              <sle:slicer xmlns:sle="http://schemas.microsoft.com/office/drawing/2010/slicer" name="Sales Person 2"/>
            </a:graphicData>
          </a:graphic>
        </xdr:graphicFrame>
      </mc:Choice>
      <mc:Fallback>
        <xdr:sp macro="" textlink="">
          <xdr:nvSpPr>
            <xdr:cNvPr id="0" name=""/>
            <xdr:cNvSpPr>
              <a:spLocks noTextEdit="1"/>
            </xdr:cNvSpPr>
          </xdr:nvSpPr>
          <xdr:spPr>
            <a:xfrm>
              <a:off x="6124576" y="1695449"/>
              <a:ext cx="3162300" cy="1019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6</xdr:row>
      <xdr:rowOff>66674</xdr:rowOff>
    </xdr:from>
    <xdr:to>
      <xdr:col>2</xdr:col>
      <xdr:colOff>38099</xdr:colOff>
      <xdr:row>8</xdr:row>
      <xdr:rowOff>304800</xdr:rowOff>
    </xdr:to>
    <mc:AlternateContent xmlns:mc="http://schemas.openxmlformats.org/markup-compatibility/2006">
      <mc:Choice xmlns:a14="http://schemas.microsoft.com/office/drawing/2010/main" Requires="a14">
        <xdr:graphicFrame macro="">
          <xdr:nvGraphicFramePr>
            <xdr:cNvPr id="9" name="Country 2">
              <a:extLst>
                <a:ext uri="{FF2B5EF4-FFF2-40B4-BE49-F238E27FC236}">
                  <a16:creationId xmlns:a16="http://schemas.microsoft.com/office/drawing/2014/main" id="{A678F6FE-0ED0-4BBC-B67F-100295A82CF0}"/>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19050" y="1695449"/>
              <a:ext cx="3267074" cy="1038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142874</xdr:colOff>
      <xdr:row>6</xdr:row>
      <xdr:rowOff>47625</xdr:rowOff>
    </xdr:from>
    <xdr:to>
      <xdr:col>8</xdr:col>
      <xdr:colOff>390524</xdr:colOff>
      <xdr:row>8</xdr:row>
      <xdr:rowOff>276225</xdr:rowOff>
    </xdr:to>
    <mc:AlternateContent xmlns:mc="http://schemas.openxmlformats.org/markup-compatibility/2006">
      <mc:Choice xmlns:a14="http://schemas.microsoft.com/office/drawing/2010/main" Requires="a14">
        <xdr:graphicFrame macro="">
          <xdr:nvGraphicFramePr>
            <xdr:cNvPr id="10" name="Category 2">
              <a:extLst>
                <a:ext uri="{FF2B5EF4-FFF2-40B4-BE49-F238E27FC236}">
                  <a16:creationId xmlns:a16="http://schemas.microsoft.com/office/drawing/2014/main" id="{938EED5A-5F02-4444-BE1A-07F7FA3C689A}"/>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9296399" y="1676400"/>
              <a:ext cx="3190875"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LEKHYA\Desktop\Book1%20(Recover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es"/>
      <sheetName val="Sheet6"/>
      <sheetName val="Sheet1"/>
      <sheetName val="Sheet8"/>
      <sheetName val="productdetails"/>
      <sheetName val="Sheet2"/>
      <sheetName val="Sheet3"/>
      <sheetName val="January"/>
      <sheetName val="data"/>
      <sheetName val="Mastrer_Data"/>
      <sheetName val="cleaned_dataset"/>
      <sheetName val="sales analysis "/>
      <sheetName val="Pivot analysis "/>
      <sheetName val="dashboard_day 29"/>
      <sheetName val="BUSS_INSI"/>
      <sheetName val="PROJECT_DESC"/>
      <sheetName val="RECOMMENDATIONS"/>
      <sheetName val="Sheet5"/>
      <sheetName val="Sheet7"/>
      <sheetName val="Febuary"/>
      <sheetName val="Sheet11"/>
      <sheetName val="Sheet12"/>
      <sheetName val="Sales_Summary"/>
      <sheetName val="March"/>
      <sheetName val="Sheet9"/>
      <sheetName val="day_28 outlie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0">
          <cell r="A10">
            <v>2050000</v>
          </cell>
        </row>
        <row r="15">
          <cell r="A15">
            <v>410000</v>
          </cell>
        </row>
        <row r="16">
          <cell r="F16">
            <v>41000</v>
          </cell>
        </row>
        <row r="26">
          <cell r="C26">
            <v>50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ALEKHYA\Desktop\Book1%20(Recover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KHYA" refreshedDate="46307.802059490743" createdVersion="6" refreshedVersion="6" minRefreshableVersion="3" recordCount="50" xr:uid="{445A094D-D20A-4549-B785-6A3A409E1002}">
  <cacheSource type="worksheet">
    <worksheetSource name="cleaned_data" r:id="rId2"/>
  </cacheSource>
  <cacheFields count="9">
    <cacheField name="Order ID" numFmtId="0">
      <sharedItems/>
    </cacheField>
    <cacheField name="Order Date" numFmtId="14">
      <sharedItems containsSemiMixedTypes="0" containsNonDate="0" containsDate="1" containsString="0" minDate="2026-01-05T00:00:00" maxDate="2026-10-30T00:00:00" count="50">
        <d v="2026-01-05T00:00:00"/>
        <d v="2026-01-08T00:00:00"/>
        <d v="2026-01-12T00:00:00"/>
        <d v="2026-01-18T00:00:00"/>
        <d v="2026-01-25T00:00:00"/>
        <d v="2026-02-02T00:00:00"/>
        <d v="2026-02-06T00:00:00"/>
        <d v="2026-02-11T00:00:00"/>
        <d v="2026-02-17T00:00:00"/>
        <d v="2026-02-24T00:00:00"/>
        <d v="2026-03-03T00:00:00"/>
        <d v="2026-03-09T00:00:00"/>
        <d v="2026-03-15T00:00:00"/>
        <d v="2026-03-21T00:00:00"/>
        <d v="2026-03-28T00:00:00"/>
        <d v="2026-04-04T00:00:00"/>
        <d v="2026-04-10T00:00:00"/>
        <d v="2026-04-16T00:00:00"/>
        <d v="2026-04-22T00:00:00"/>
        <d v="2026-04-29T00:00:00"/>
        <d v="2026-05-05T00:00:00"/>
        <d v="2026-05-11T00:00:00"/>
        <d v="2026-05-17T00:00:00"/>
        <d v="2026-05-23T00:00:00"/>
        <d v="2026-05-30T00:00:00"/>
        <d v="2026-06-06T00:00:00"/>
        <d v="2026-06-12T00:00:00"/>
        <d v="2026-06-18T00:00:00"/>
        <d v="2026-06-24T00:00:00"/>
        <d v="2026-06-30T00:00:00"/>
        <d v="2026-07-07T00:00:00"/>
        <d v="2026-07-13T00:00:00"/>
        <d v="2026-07-19T00:00:00"/>
        <d v="2026-07-25T00:00:00"/>
        <d v="2026-07-31T00:00:00"/>
        <d v="2026-08-06T00:00:00"/>
        <d v="2026-08-12T00:00:00"/>
        <d v="2026-08-18T00:00:00"/>
        <d v="2026-08-24T00:00:00"/>
        <d v="2026-08-30T00:00:00"/>
        <d v="2026-09-05T00:00:00"/>
        <d v="2026-09-11T00:00:00"/>
        <d v="2026-09-17T00:00:00"/>
        <d v="2026-09-23T00:00:00"/>
        <d v="2026-09-29T00:00:00"/>
        <d v="2026-10-05T00:00:00"/>
        <d v="2026-10-11T00:00:00"/>
        <d v="2026-10-17T00:00:00"/>
        <d v="2026-10-23T00:00:00"/>
        <d v="2026-10-29T00:00:00"/>
      </sharedItems>
      <fieldGroup base="1">
        <rangePr groupBy="months" startDate="2026-01-05T00:00:00" endDate="2026-10-30T00:00:00"/>
        <groupItems count="14">
          <s v="&lt;05-01-2026"/>
          <s v="Jan"/>
          <s v="Feb"/>
          <s v="Mar"/>
          <s v="Apr"/>
          <s v="May"/>
          <s v="Jun"/>
          <s v="Jul"/>
          <s v="Aug"/>
          <s v="Sep"/>
          <s v="Oct"/>
          <s v="Nov"/>
          <s v="Dec"/>
          <s v="&gt;30-10-2026"/>
        </groupItems>
      </fieldGroup>
    </cacheField>
    <cacheField name="Customer" numFmtId="0">
      <sharedItems/>
    </cacheField>
    <cacheField name="Country" numFmtId="0">
      <sharedItems count="5">
        <s v="India"/>
        <s v="USA"/>
        <s v="UK"/>
        <s v="Australia"/>
        <s v="Canada"/>
      </sharedItems>
    </cacheField>
    <cacheField name="Category" numFmtId="0">
      <sharedItems count="3">
        <s v="Electronics"/>
        <s v="Furniture"/>
        <s v="Office Supplies"/>
      </sharedItems>
    </cacheField>
    <cacheField name="Sales Person" numFmtId="0">
      <sharedItems count="5">
        <s v="Alekhya"/>
        <s v="Rahul"/>
        <s v="Anu"/>
        <s v="Priya"/>
        <s v="Revathi" u="1"/>
      </sharedItems>
    </cacheField>
    <cacheField name="Sales" numFmtId="0">
      <sharedItems containsSemiMixedTypes="0" containsString="0" containsNumber="1" containsInteger="1" minValue="18000" maxValue="80000"/>
    </cacheField>
    <cacheField name="Quantity" numFmtId="0">
      <sharedItems containsSemiMixedTypes="0" containsString="0" containsNumber="1" containsInteger="1" minValue="3" maxValue="10"/>
    </cacheField>
    <cacheField name="Profit" numFmtId="0">
      <sharedItems containsSemiMixedTypes="0" containsString="0" containsNumber="1" containsInteger="1" minValue="3600" maxValue="16000"/>
    </cacheField>
  </cacheFields>
  <extLst>
    <ext xmlns:x14="http://schemas.microsoft.com/office/spreadsheetml/2009/9/main" uri="{725AE2AE-9491-48be-B2B4-4EB974FC3084}">
      <x14:pivotCacheDefinition pivotCacheId="11055560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ORD001"/>
    <x v="0"/>
    <s v="Ravi"/>
    <x v="0"/>
    <x v="0"/>
    <x v="0"/>
    <n v="25000"/>
    <n v="5"/>
    <n v="5000"/>
  </r>
  <r>
    <s v="ORD002"/>
    <x v="1"/>
    <s v="Priya"/>
    <x v="1"/>
    <x v="1"/>
    <x v="1"/>
    <n v="32000"/>
    <n v="4"/>
    <n v="6400"/>
  </r>
  <r>
    <s v="ORD003"/>
    <x v="2"/>
    <s v="Arun"/>
    <x v="0"/>
    <x v="2"/>
    <x v="2"/>
    <n v="18000"/>
    <n v="8"/>
    <n v="3600"/>
  </r>
  <r>
    <s v="ORD004"/>
    <x v="3"/>
    <s v="Sita"/>
    <x v="2"/>
    <x v="0"/>
    <x v="3"/>
    <n v="45000"/>
    <n v="6"/>
    <n v="9000"/>
  </r>
  <r>
    <s v="ORD005"/>
    <x v="4"/>
    <s v="Kiran"/>
    <x v="3"/>
    <x v="1"/>
    <x v="1"/>
    <n v="28000"/>
    <n v="3"/>
    <n v="5600"/>
  </r>
  <r>
    <s v="ORD006"/>
    <x v="5"/>
    <s v="Divya"/>
    <x v="0"/>
    <x v="0"/>
    <x v="0"/>
    <n v="52000"/>
    <n v="7"/>
    <n v="10400"/>
  </r>
  <r>
    <s v="ORD007"/>
    <x v="6"/>
    <s v="Rohit"/>
    <x v="1"/>
    <x v="2"/>
    <x v="2"/>
    <n v="22000"/>
    <n v="10"/>
    <n v="4400"/>
  </r>
  <r>
    <s v="ORD008"/>
    <x v="7"/>
    <s v="Neha"/>
    <x v="2"/>
    <x v="1"/>
    <x v="3"/>
    <n v="35000"/>
    <n v="5"/>
    <n v="7000"/>
  </r>
  <r>
    <s v="ORD009"/>
    <x v="8"/>
    <s v="Vijay"/>
    <x v="4"/>
    <x v="0"/>
    <x v="1"/>
    <n v="41000"/>
    <n v="4"/>
    <n v="8200"/>
  </r>
  <r>
    <s v="ORD010"/>
    <x v="9"/>
    <s v="Sneha"/>
    <x v="0"/>
    <x v="2"/>
    <x v="0"/>
    <n v="19000"/>
    <n v="9"/>
    <n v="3800"/>
  </r>
  <r>
    <s v="ORD011"/>
    <x v="10"/>
    <s v="Karthik"/>
    <x v="1"/>
    <x v="0"/>
    <x v="2"/>
    <n v="58000"/>
    <n v="8"/>
    <n v="11600"/>
  </r>
  <r>
    <s v="ORD012"/>
    <x v="11"/>
    <s v="Pooja"/>
    <x v="2"/>
    <x v="1"/>
    <x v="3"/>
    <n v="27000"/>
    <n v="3"/>
    <n v="5400"/>
  </r>
  <r>
    <s v="ORD013"/>
    <x v="12"/>
    <s v="Ramesh"/>
    <x v="3"/>
    <x v="2"/>
    <x v="1"/>
    <n v="24000"/>
    <n v="7"/>
    <n v="4800"/>
  </r>
  <r>
    <s v="ORD014"/>
    <x v="13"/>
    <s v="Swathi"/>
    <x v="0"/>
    <x v="0"/>
    <x v="0"/>
    <n v="63000"/>
    <n v="9"/>
    <n v="12600"/>
  </r>
  <r>
    <s v="ORD015"/>
    <x v="14"/>
    <s v="Manoj"/>
    <x v="4"/>
    <x v="1"/>
    <x v="2"/>
    <n v="38000"/>
    <n v="5"/>
    <n v="7600"/>
  </r>
  <r>
    <s v="ORD016"/>
    <x v="15"/>
    <s v="Ravi"/>
    <x v="0"/>
    <x v="2"/>
    <x v="3"/>
    <n v="21000"/>
    <n v="6"/>
    <n v="4200"/>
  </r>
  <r>
    <s v="ORD017"/>
    <x v="16"/>
    <s v="Priya"/>
    <x v="1"/>
    <x v="0"/>
    <x v="1"/>
    <n v="47000"/>
    <n v="5"/>
    <n v="9400"/>
  </r>
  <r>
    <s v="ORD018"/>
    <x v="17"/>
    <s v="Arun"/>
    <x v="2"/>
    <x v="1"/>
    <x v="0"/>
    <n v="33000"/>
    <n v="4"/>
    <n v="6600"/>
  </r>
  <r>
    <s v="ORD019"/>
    <x v="18"/>
    <s v="Sita"/>
    <x v="0"/>
    <x v="0"/>
    <x v="2"/>
    <n v="55000"/>
    <n v="7"/>
    <n v="11000"/>
  </r>
  <r>
    <s v="ORD020"/>
    <x v="19"/>
    <s v="Kiran"/>
    <x v="3"/>
    <x v="2"/>
    <x v="3"/>
    <n v="26000"/>
    <n v="8"/>
    <n v="5200"/>
  </r>
  <r>
    <s v="ORD021"/>
    <x v="20"/>
    <s v="Divya"/>
    <x v="4"/>
    <x v="1"/>
    <x v="1"/>
    <n v="39000"/>
    <n v="4"/>
    <n v="7800"/>
  </r>
  <r>
    <s v="ORD022"/>
    <x v="21"/>
    <s v="Rohit"/>
    <x v="0"/>
    <x v="0"/>
    <x v="0"/>
    <n v="68000"/>
    <n v="10"/>
    <n v="13600"/>
  </r>
  <r>
    <s v="ORD023"/>
    <x v="22"/>
    <s v="Neha"/>
    <x v="1"/>
    <x v="2"/>
    <x v="2"/>
    <n v="23000"/>
    <n v="6"/>
    <n v="4600"/>
  </r>
  <r>
    <s v="ORD024"/>
    <x v="23"/>
    <s v="Vijay"/>
    <x v="2"/>
    <x v="0"/>
    <x v="3"/>
    <n v="49000"/>
    <n v="5"/>
    <n v="9800"/>
  </r>
  <r>
    <s v="ORD025"/>
    <x v="24"/>
    <s v="Sneha"/>
    <x v="0"/>
    <x v="1"/>
    <x v="1"/>
    <n v="36000"/>
    <n v="4"/>
    <n v="7200"/>
  </r>
  <r>
    <s v="ORD026"/>
    <x v="25"/>
    <s v="Karthik"/>
    <x v="1"/>
    <x v="0"/>
    <x v="0"/>
    <n v="72000"/>
    <n v="9"/>
    <n v="14400"/>
  </r>
  <r>
    <s v="ORD027"/>
    <x v="26"/>
    <s v="Pooja"/>
    <x v="4"/>
    <x v="2"/>
    <x v="2"/>
    <n v="25000"/>
    <n v="7"/>
    <n v="5000"/>
  </r>
  <r>
    <s v="ORD028"/>
    <x v="27"/>
    <s v="Ramesh"/>
    <x v="0"/>
    <x v="1"/>
    <x v="3"/>
    <n v="31000"/>
    <n v="5"/>
    <n v="6200"/>
  </r>
  <r>
    <s v="ORD029"/>
    <x v="28"/>
    <s v="Swathi"/>
    <x v="2"/>
    <x v="0"/>
    <x v="1"/>
    <n v="54000"/>
    <n v="6"/>
    <n v="10800"/>
  </r>
  <r>
    <s v="ORD030"/>
    <x v="29"/>
    <s v="Manoj"/>
    <x v="3"/>
    <x v="2"/>
    <x v="0"/>
    <n v="29000"/>
    <n v="8"/>
    <n v="5800"/>
  </r>
  <r>
    <s v="ORD031"/>
    <x v="30"/>
    <s v="Ravi"/>
    <x v="0"/>
    <x v="0"/>
    <x v="2"/>
    <n v="61000"/>
    <n v="7"/>
    <n v="12200"/>
  </r>
  <r>
    <s v="ORD032"/>
    <x v="31"/>
    <s v="Priya"/>
    <x v="1"/>
    <x v="1"/>
    <x v="3"/>
    <n v="42000"/>
    <n v="5"/>
    <n v="8400"/>
  </r>
  <r>
    <s v="ORD033"/>
    <x v="32"/>
    <s v="Arun"/>
    <x v="4"/>
    <x v="2"/>
    <x v="1"/>
    <n v="27000"/>
    <n v="9"/>
    <n v="5400"/>
  </r>
  <r>
    <s v="ORD034"/>
    <x v="33"/>
    <s v="Sita"/>
    <x v="0"/>
    <x v="0"/>
    <x v="0"/>
    <n v="75000"/>
    <n v="10"/>
    <n v="15000"/>
  </r>
  <r>
    <s v="ORD035"/>
    <x v="34"/>
    <s v="Kiran"/>
    <x v="2"/>
    <x v="1"/>
    <x v="2"/>
    <n v="34000"/>
    <n v="4"/>
    <n v="6800"/>
  </r>
  <r>
    <s v="ORD036"/>
    <x v="35"/>
    <s v="Divya"/>
    <x v="0"/>
    <x v="2"/>
    <x v="3"/>
    <n v="28000"/>
    <n v="7"/>
    <n v="5600"/>
  </r>
  <r>
    <s v="ORD037"/>
    <x v="36"/>
    <s v="Rohit"/>
    <x v="1"/>
    <x v="0"/>
    <x v="1"/>
    <n v="56000"/>
    <n v="6"/>
    <n v="11200"/>
  </r>
  <r>
    <s v="ORD038"/>
    <x v="37"/>
    <s v="Neha"/>
    <x v="4"/>
    <x v="1"/>
    <x v="0"/>
    <n v="43000"/>
    <n v="5"/>
    <n v="8600"/>
  </r>
  <r>
    <s v="ORD039"/>
    <x v="38"/>
    <s v="Vijay"/>
    <x v="0"/>
    <x v="0"/>
    <x v="2"/>
    <n v="67000"/>
    <n v="8"/>
    <n v="13400"/>
  </r>
  <r>
    <s v="ORD040"/>
    <x v="39"/>
    <s v="Sneha"/>
    <x v="3"/>
    <x v="2"/>
    <x v="3"/>
    <n v="22000"/>
    <n v="6"/>
    <n v="4400"/>
  </r>
  <r>
    <s v="ORD041"/>
    <x v="40"/>
    <s v="Karthik"/>
    <x v="0"/>
    <x v="1"/>
    <x v="1"/>
    <n v="48000"/>
    <n v="5"/>
    <n v="9600"/>
  </r>
  <r>
    <s v="ORD042"/>
    <x v="41"/>
    <s v="Pooja"/>
    <x v="1"/>
    <x v="0"/>
    <x v="0"/>
    <n v="59000"/>
    <n v="7"/>
    <n v="11800"/>
  </r>
  <r>
    <s v="ORD043"/>
    <x v="42"/>
    <s v="Ramesh"/>
    <x v="2"/>
    <x v="2"/>
    <x v="2"/>
    <n v="20000"/>
    <n v="8"/>
    <n v="4000"/>
  </r>
  <r>
    <s v="ORD044"/>
    <x v="43"/>
    <s v="Swathi"/>
    <x v="0"/>
    <x v="0"/>
    <x v="3"/>
    <n v="64000"/>
    <n v="9"/>
    <n v="12800"/>
  </r>
  <r>
    <s v="ORD045"/>
    <x v="44"/>
    <s v="Manoj"/>
    <x v="4"/>
    <x v="1"/>
    <x v="1"/>
    <n v="37000"/>
    <n v="4"/>
    <n v="7400"/>
  </r>
  <r>
    <s v="ORD046"/>
    <x v="45"/>
    <s v="Ravi"/>
    <x v="0"/>
    <x v="2"/>
    <x v="0"/>
    <n v="30000"/>
    <n v="7"/>
    <n v="6000"/>
  </r>
  <r>
    <s v="ORD047"/>
    <x v="46"/>
    <s v="Priya"/>
    <x v="1"/>
    <x v="0"/>
    <x v="2"/>
    <n v="51000"/>
    <n v="6"/>
    <n v="10200"/>
  </r>
  <r>
    <s v="ORD048"/>
    <x v="47"/>
    <s v="Arun"/>
    <x v="2"/>
    <x v="1"/>
    <x v="3"/>
    <n v="44000"/>
    <n v="5"/>
    <n v="8800"/>
  </r>
  <r>
    <s v="ORD049"/>
    <x v="48"/>
    <s v="Sita"/>
    <x v="0"/>
    <x v="0"/>
    <x v="1"/>
    <n v="80000"/>
    <n v="10"/>
    <n v="16000"/>
  </r>
  <r>
    <s v="ORD050"/>
    <x v="49"/>
    <s v="Kiran"/>
    <x v="3"/>
    <x v="2"/>
    <x v="0"/>
    <n v="27000"/>
    <n v="8"/>
    <n v="5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B3D51F-3189-4DA5-AB28-F7E0879338E9}"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9:F15" firstHeaderRow="1" firstDataRow="1" firstDataCol="1"/>
  <pivotFields count="9">
    <pivotField showAll="0"/>
    <pivotField numFmtId="14" showAll="0"/>
    <pivotField showAll="0"/>
    <pivotField axis="axisRow" showAll="0" sortType="descending">
      <items count="6">
        <item x="3"/>
        <item x="4"/>
        <item x="0"/>
        <item x="2"/>
        <item x="1"/>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3"/>
  </rowFields>
  <rowItems count="6">
    <i>
      <x v="2"/>
    </i>
    <i>
      <x v="4"/>
    </i>
    <i>
      <x v="3"/>
    </i>
    <i>
      <x v="1"/>
    </i>
    <i>
      <x/>
    </i>
    <i t="grand">
      <x/>
    </i>
  </rowItems>
  <colItems count="1">
    <i/>
  </colItems>
  <dataFields count="1">
    <dataField name="Total Profit" fld="8" baseField="3" baseItem="2" numFmtId="164"/>
  </dataFields>
  <formats count="4">
    <format dxfId="38">
      <pivotArea outline="0" collapsedLevelsAreSubtotals="1" fieldPosition="0"/>
    </format>
    <format dxfId="39">
      <pivotArea field="3" type="button" dataOnly="0" labelOnly="1" outline="0" axis="axisRow" fieldPosition="0"/>
    </format>
    <format dxfId="40">
      <pivotArea dataOnly="0" labelOnly="1" outline="0" axis="axisValues" fieldPosition="0"/>
    </format>
    <format dxfId="41">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6471D5-CEFB-4FB9-80C1-6BF939B80FFB}" name="PivotTable2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13:F14" firstHeaderRow="1" firstDataRow="1" firstDataCol="0"/>
  <pivotFields count="9">
    <pivotField showAll="0"/>
    <pivotField numFmtId="14" showAll="0"/>
    <pivotField showAll="0"/>
    <pivotField showAll="0"/>
    <pivotField showAll="0"/>
    <pivotField showAll="0"/>
    <pivotField dataField="1" showAll="0"/>
    <pivotField showAll="0"/>
    <pivotField showAll="0"/>
  </pivotFields>
  <rowItems count="1">
    <i/>
  </rowItems>
  <colItems count="1">
    <i/>
  </colItems>
  <dataFields count="1">
    <dataField name="Average of Sales" fld="6" subtotal="average" baseField="0" baseItem="47769836"/>
  </dataFields>
  <formats count="1">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A080D5-BC73-4570-B92F-0C0E97F9A31A}" name="PivotTable2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2:A13" firstHeaderRow="1" firstDataRow="1" firstDataCol="0"/>
  <pivotFields count="9">
    <pivotField showAll="0"/>
    <pivotField numFmtId="14" showAll="0"/>
    <pivotField showAll="0"/>
    <pivotField showAll="0"/>
    <pivotField showAll="0"/>
    <pivotField showAll="0"/>
    <pivotField showAll="0"/>
    <pivotField showAll="0"/>
    <pivotField dataField="1" showAll="0"/>
  </pivotFields>
  <rowItems count="1">
    <i/>
  </rowItems>
  <colItems count="1">
    <i/>
  </colItems>
  <dataFields count="1">
    <dataField name="Sum of Profit" fld="8" baseField="0" baseItem="0"/>
  </dataFields>
  <formats count="1">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38872B-D765-4177-A30E-52AA758182A0}" name="PivotTable2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2:B7" firstHeaderRow="1" firstDataRow="1" firstDataCol="1"/>
  <pivotFields count="9">
    <pivotField showAll="0"/>
    <pivotField numFmtId="14" showAll="0"/>
    <pivotField showAll="0"/>
    <pivotField showAll="0"/>
    <pivotField showAll="0"/>
    <pivotField axis="axisRow" showAll="0" sortType="ascending">
      <items count="6">
        <item x="0"/>
        <item x="2"/>
        <item x="3"/>
        <item x="1"/>
        <item h="1" m="1"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s>
  <rowFields count="1">
    <field x="5"/>
  </rowFields>
  <rowItems count="5">
    <i>
      <x v="2"/>
    </i>
    <i>
      <x v="1"/>
    </i>
    <i>
      <x v="3"/>
    </i>
    <i>
      <x/>
    </i>
    <i t="grand">
      <x/>
    </i>
  </rowItems>
  <colItems count="1">
    <i/>
  </colItems>
  <dataFields count="1">
    <dataField name="Sum of Sales" fld="6" baseField="0" baseItem="0"/>
  </dataFields>
  <formats count="4">
    <format dxfId="17">
      <pivotArea field="5" type="button" dataOnly="0" labelOnly="1" outline="0" axis="axisRow" fieldPosition="0"/>
    </format>
    <format dxfId="18">
      <pivotArea dataOnly="0" labelOnly="1" outline="0" axis="axisValues" fieldPosition="0"/>
    </format>
    <format dxfId="19">
      <pivotArea dataOnly="0" labelOnly="1" grandRow="1" outline="0" fieldPosition="0"/>
    </format>
    <format dxfId="20">
      <pivotArea grandRow="1"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5" count="1" selected="0">
            <x v="0"/>
          </reference>
        </references>
      </pivotArea>
    </chartFormat>
    <chartFormat chart="2" format="11">
      <pivotArea type="data" outline="0" fieldPosition="0">
        <references count="2">
          <reference field="4294967294" count="1" selected="0">
            <x v="0"/>
          </reference>
          <reference field="5" count="1" selected="0">
            <x v="1"/>
          </reference>
        </references>
      </pivotArea>
    </chartFormat>
    <chartFormat chart="2" format="12">
      <pivotArea type="data" outline="0" fieldPosition="0">
        <references count="2">
          <reference field="4294967294" count="1" selected="0">
            <x v="0"/>
          </reference>
          <reference field="5" count="1" selected="0">
            <x v="2"/>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5" count="1" selected="0">
            <x v="0"/>
          </reference>
        </references>
      </pivotArea>
    </chartFormat>
    <chartFormat chart="4" format="11">
      <pivotArea type="data" outline="0" fieldPosition="0">
        <references count="2">
          <reference field="4294967294" count="1" selected="0">
            <x v="0"/>
          </reference>
          <reference field="5" count="1" selected="0">
            <x v="1"/>
          </reference>
        </references>
      </pivotArea>
    </chartFormat>
    <chartFormat chart="4" format="12">
      <pivotArea type="data" outline="0" fieldPosition="0">
        <references count="2">
          <reference field="4294967294" count="1" selected="0">
            <x v="0"/>
          </reference>
          <reference field="5" count="1" selected="0">
            <x v="2"/>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B3ED63-D5EB-43A4-B6F1-9B6252CE8133}" name="PivotTable1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G2:H6" firstHeaderRow="1" firstDataRow="1" firstDataCol="1"/>
  <pivotFields count="9">
    <pivotField showAll="0"/>
    <pivotField numFmtId="14"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4"/>
  </rowFields>
  <rowItems count="4">
    <i>
      <x/>
    </i>
    <i>
      <x v="1"/>
    </i>
    <i>
      <x v="2"/>
    </i>
    <i t="grand">
      <x/>
    </i>
  </rowItems>
  <colItems count="1">
    <i/>
  </colItems>
  <dataFields count="1">
    <dataField name="Sum of Sales" fld="6" showDataAs="percentOfCol" baseField="0" baseItem="0" numFmtId="10"/>
  </dataFields>
  <formats count="3">
    <format dxfId="21">
      <pivotArea field="4" type="button" dataOnly="0" labelOnly="1" outline="0" axis="axisRow" fieldPosition="0"/>
    </format>
    <format dxfId="22">
      <pivotArea grandRow="1" outline="0" collapsedLevelsAreSubtotals="1" fieldPosition="0"/>
    </format>
    <format dxfId="23">
      <pivotArea dataOnly="0" labelOnly="1" grandRow="1" outline="0" fieldPosition="0"/>
    </format>
  </format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4" count="1" selected="0">
            <x v="0"/>
          </reference>
        </references>
      </pivotArea>
    </chartFormat>
    <chartFormat chart="4" format="3">
      <pivotArea type="data" outline="0" fieldPosition="0">
        <references count="2">
          <reference field="4294967294" count="1" selected="0">
            <x v="0"/>
          </reference>
          <reference field="4" count="1" selected="0">
            <x v="1"/>
          </reference>
        </references>
      </pivotArea>
    </chartFormat>
    <chartFormat chart="4" format="4">
      <pivotArea type="data" outline="0" fieldPosition="0">
        <references count="2">
          <reference field="4294967294" count="1" selected="0">
            <x v="0"/>
          </reference>
          <reference field="4"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4" count="1" selected="0">
            <x v="0"/>
          </reference>
        </references>
      </pivotArea>
    </chartFormat>
    <chartFormat chart="7" format="10">
      <pivotArea type="data" outline="0" fieldPosition="0">
        <references count="2">
          <reference field="4294967294" count="1" selected="0">
            <x v="0"/>
          </reference>
          <reference field="4" count="1" selected="0">
            <x v="1"/>
          </reference>
        </references>
      </pivotArea>
    </chartFormat>
    <chartFormat chart="7"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5A2DA2-6CAD-4BBD-891F-49A4BB37069D}" name="PivotTable18" cacheId="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J2:K13" firstHeaderRow="1" firstDataRow="1" firstDataCol="1"/>
  <pivotFields count="9">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showAll="0"/>
    <pivotField showAll="0"/>
  </pivotFields>
  <rowFields count="1">
    <field x="1"/>
  </rowFields>
  <rowItems count="11">
    <i>
      <x v="1"/>
    </i>
    <i>
      <x v="2"/>
    </i>
    <i>
      <x v="3"/>
    </i>
    <i>
      <x v="4"/>
    </i>
    <i>
      <x v="5"/>
    </i>
    <i>
      <x v="6"/>
    </i>
    <i>
      <x v="7"/>
    </i>
    <i>
      <x v="8"/>
    </i>
    <i>
      <x v="9"/>
    </i>
    <i>
      <x v="10"/>
    </i>
    <i t="grand">
      <x/>
    </i>
  </rowItems>
  <colItems count="1">
    <i/>
  </colItems>
  <dataFields count="1">
    <dataField name="Sum of Sales" fld="6" baseField="0" baseItem="0"/>
  </dataFields>
  <formats count="3">
    <format dxfId="24">
      <pivotArea field="1" type="button" dataOnly="0" labelOnly="1" outline="0" axis="axisRow" fieldPosition="0"/>
    </format>
    <format dxfId="25">
      <pivotArea grandRow="1" outline="0" collapsedLevelsAreSubtotals="1" fieldPosition="0"/>
    </format>
    <format dxfId="26">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50E2FC-1427-43A5-A9EC-809436C12B74}" name="PivotTable1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D2:E8" firstHeaderRow="1" firstDataRow="1" firstDataCol="1"/>
  <pivotFields count="9">
    <pivotField showAll="0"/>
    <pivotField numFmtId="14" showAll="0"/>
    <pivotField showAll="0"/>
    <pivotField axis="axisRow" showAll="0">
      <items count="6">
        <item x="3"/>
        <item x="4"/>
        <item x="0"/>
        <item x="2"/>
        <item x="1"/>
        <item t="default"/>
      </items>
    </pivotField>
    <pivotField showAll="0"/>
    <pivotField showAll="0"/>
    <pivotField dataField="1" showAll="0"/>
    <pivotField showAll="0"/>
    <pivotField showAll="0"/>
  </pivotFields>
  <rowFields count="1">
    <field x="3"/>
  </rowFields>
  <rowItems count="6">
    <i>
      <x/>
    </i>
    <i>
      <x v="1"/>
    </i>
    <i>
      <x v="2"/>
    </i>
    <i>
      <x v="3"/>
    </i>
    <i>
      <x v="4"/>
    </i>
    <i t="grand">
      <x/>
    </i>
  </rowItems>
  <colItems count="1">
    <i/>
  </colItems>
  <dataFields count="1">
    <dataField name="Sum of Sales" fld="6" baseField="0" baseItem="0"/>
  </dataFields>
  <formats count="2">
    <format dxfId="27">
      <pivotArea field="3" type="button" dataOnly="0" labelOnly="1" outline="0" axis="axisRow" fieldPosition="0"/>
    </format>
    <format dxfId="28">
      <pivotArea dataOnly="0" labelOnly="1" grandRow="1" outline="0"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BD6425-26A3-45BA-93AB-6F03F1643585}" name="PivotTable1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2:D23" firstHeaderRow="1" firstDataRow="1" firstDataCol="1"/>
  <pivotFields count="9">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showAll="0"/>
    <pivotField showAll="0"/>
  </pivotFields>
  <rowFields count="1">
    <field x="1"/>
  </rowFields>
  <rowItems count="11">
    <i>
      <x v="1"/>
    </i>
    <i>
      <x v="2"/>
    </i>
    <i>
      <x v="3"/>
    </i>
    <i>
      <x v="4"/>
    </i>
    <i>
      <x v="5"/>
    </i>
    <i>
      <x v="6"/>
    </i>
    <i>
      <x v="7"/>
    </i>
    <i>
      <x v="8"/>
    </i>
    <i>
      <x v="9"/>
    </i>
    <i>
      <x v="10"/>
    </i>
    <i t="grand">
      <x/>
    </i>
  </rowItems>
  <colItems count="1">
    <i/>
  </colItems>
  <dataFields count="1">
    <dataField name="Count of Sales" fld="6" subtotal="count" baseField="1" baseItem="1"/>
  </dataFields>
  <formats count="4">
    <format dxfId="29">
      <pivotArea field="1" type="button" dataOnly="0" labelOnly="1" outline="0" axis="axisRow" fieldPosition="0"/>
    </format>
    <format dxfId="30">
      <pivotArea dataOnly="0" labelOnly="1" outline="0" axis="axisValues" fieldPosition="0"/>
    </format>
    <format dxfId="31">
      <pivotArea grandRow="1" outline="0" collapsedLevelsAreSubtotals="1" fieldPosition="0"/>
    </format>
    <format dxfId="3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71A89C8-E2D1-48D6-A5B7-0C462C0D6E9C}" autoFormatId="16" applyNumberFormats="0" applyBorderFormats="0" applyFontFormats="0" applyPatternFormats="0" applyAlignmentFormats="0" applyWidthHeightFormats="0">
  <queryTableRefresh nextId="11">
    <queryTableFields count="9">
      <queryTableField id="1" name="Order ID" tableColumnId="1"/>
      <queryTableField id="2" name="Order Date" tableColumnId="2"/>
      <queryTableField id="3" name="Customer" tableColumnId="3"/>
      <queryTableField id="4" name="Country" tableColumnId="4"/>
      <queryTableField id="5" name="Category" tableColumnId="5"/>
      <queryTableField id="6" name="Sales Person" tableColumnId="6"/>
      <queryTableField id="7" name="Sales" tableColumnId="7"/>
      <queryTableField id="8" name="Quantity"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8FB5093C-4FEC-4040-8A2F-1AB601701DE7}" sourceName="Sales Person">
  <data>
    <tabular pivotCacheId="1105556057">
      <items count="5">
        <i x="0" s="1"/>
        <i x="2" s="1"/>
        <i x="3" s="1"/>
        <i x="1" s="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B50ACFC-1A48-4870-94CB-C916BC0F06F8}" sourceName="Country">
  <data>
    <tabular pivotCacheId="1105556057">
      <items count="5">
        <i x="3" s="1"/>
        <i x="4"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02ABFA1-25AF-4B42-A66A-839D0E382DDA}" sourceName="Category">
  <data>
    <tabular pivotCacheId="1105556057">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1" xr10:uid="{154F7C12-A97F-44A4-BFCB-7886466C127F}" sourceName="Sales Person">
  <pivotTables>
    <pivotTable tabId="5" name="PivotTable20"/>
  </pivotTables>
  <data>
    <tabular pivotCacheId="1105556057">
      <items count="5">
        <i x="0" s="1"/>
        <i x="2" s="1"/>
        <i x="3" s="1"/>
        <i x="1" s="1"/>
        <i x="4"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0D523511-05AA-4A0C-9BB1-B60BD5EC9399}" sourceName="Country">
  <pivotTables>
    <pivotTable tabId="5" name="PivotTable17"/>
  </pivotTables>
  <data>
    <tabular pivotCacheId="1105556057">
      <items count="5">
        <i x="3" s="1"/>
        <i x="4" s="1"/>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861855A-FCBE-4299-BB93-BB2BD89ABB88}" sourceName="Category">
  <pivotTables>
    <pivotTable tabId="5" name="PivotTable19"/>
  </pivotTables>
  <data>
    <tabular pivotCacheId="1105556057">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2" xr10:uid="{BB82ABE4-CA26-4C71-9635-2ECC4A776278}" sourceName="Sales Person">
  <data>
    <tabular pivotCacheId="1105556057">
      <items count="5">
        <i x="0" s="1"/>
        <i x="2" s="1"/>
        <i x="3" s="1"/>
        <i x="1" s="1"/>
        <i x="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04907032-D060-47B7-B274-945E4F6AFB66}" sourceName="Country">
  <data>
    <tabular pivotCacheId="1105556057">
      <items count="5">
        <i x="3" s="1"/>
        <i x="4" s="1"/>
        <i x="0" s="1"/>
        <i x="2"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755F118D-61F8-42F4-AE56-D217F092E92A}" sourceName="Category">
  <data>
    <tabular pivotCacheId="110555605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6D5F076E-2C7B-4701-A4AF-B2A8D024B6BC}" cache="Slicer_Sales_Person" caption="Sales Person" columnCount="4" style="SlicerStyleLight6" rowHeight="241300"/>
  <slicer name="Country" xr10:uid="{6A62ED4A-E906-4134-A931-90DDB7C0F04F}" cache="Slicer_Country" caption="Country" columnCount="5" style="SlicerStyleLight6" rowHeight="241300"/>
  <slicer name="Category" xr10:uid="{E4D1C62B-0F55-460D-8C54-64566E857BF8}" cache="Slicer_Category" caption="Category" columnCount="3" style="SlicerStyleLight6" rowHeight="241300"/>
  <slicer name="Sales Person 1" xr10:uid="{C4C5A73D-9FCB-4628-9479-36D74213A36F}" cache="Slicer_Sales_Person1" caption="Sales Person" columnCount="4" style="SlicerStyleLight6" rowHeight="241300"/>
  <slicer name="Country 1" xr10:uid="{67415C87-68EA-4C87-98D2-6E34C9673899}" cache="Slicer_Country1" caption="Country" columnCount="5" style="SlicerStyleLight6" rowHeight="241300"/>
  <slicer name="Category 1" xr10:uid="{E02F7957-07EA-44B9-9D08-C39FDA556AFE}" cache="Slicer_Category1" caption="Category" columnCount="3"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2" xr10:uid="{A7D22471-59FF-4CDB-81A4-165C6D7DCB63}" cache="Slicer_Sales_Person2" caption="Sales Person" columnCount="4" style="SlicerStyleLight6" rowHeight="241300"/>
  <slicer name="Country 2" xr10:uid="{89A764D4-6A21-46A5-AD31-E844672D03D5}" cache="Slicer_Country2" caption="Country" columnCount="5" style="SlicerStyleLight6" rowHeight="241300"/>
  <slicer name="Category 2" xr10:uid="{E1D5DF09-9F80-4B7A-93AE-69E47EDA0601}" cache="Slicer_Category2" caption="Category" columnCount="3" style="SlicerStyleLight6"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305B17-9947-4214-B8D3-E33FF6BB198D}" name="Table20" displayName="Table20" ref="A1:I51" totalsRowShown="0" headerRowDxfId="58" dataDxfId="57">
  <autoFilter ref="A1:I51" xr:uid="{0A17707B-D8BE-4967-A248-AF16B0534AEA}"/>
  <tableColumns count="9">
    <tableColumn id="1" xr3:uid="{26BF7D42-8655-4AA6-BBBD-FB5E9FD1A90D}" name="Order ID" dataDxfId="56"/>
    <tableColumn id="2" xr3:uid="{0C8CA5F1-496E-4D2C-8613-DC5BAF771BFC}" name="Order Date" dataDxfId="55"/>
    <tableColumn id="3" xr3:uid="{4BE53437-41FF-4D49-8259-62F9312A9379}" name="Customer" dataDxfId="54"/>
    <tableColumn id="4" xr3:uid="{26CF36CD-E073-47F8-A1C0-EE9EF2100B25}" name="Country" dataDxfId="53"/>
    <tableColumn id="5" xr3:uid="{70D72C49-8730-4553-91AE-F41F012F5EE2}" name="Category" dataDxfId="52"/>
    <tableColumn id="6" xr3:uid="{B79D57B0-4BAE-411A-BFE1-2AB0070CD24E}" name="Sales Person" dataDxfId="51"/>
    <tableColumn id="7" xr3:uid="{5AA9F2E8-2F24-4758-872B-4AB08C2DFA9F}" name="Sales" dataDxfId="50"/>
    <tableColumn id="8" xr3:uid="{A4D87572-5B3C-4B55-ABB3-0CF0E389EE3D}" name="Quantity" dataDxfId="49"/>
    <tableColumn id="9" xr3:uid="{F0567491-51A0-44DC-B415-AC3212B8E170}" name="Profit" dataDxfId="48"/>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1709198-9A98-4627-AF20-235A6485E103}" name="cleaned_data" displayName="cleaned_data" ref="A1:I51" tableType="queryTable" totalsRowShown="0">
  <autoFilter ref="A1:I51" xr:uid="{BF659114-4B7B-4FE6-96A2-CE32926C8AA8}"/>
  <tableColumns count="9">
    <tableColumn id="1" xr3:uid="{A5D05CC8-E8E4-41BB-AD1D-BC7ED135DF2F}" uniqueName="1" name="Order ID" queryTableFieldId="1" dataDxfId="47"/>
    <tableColumn id="2" xr3:uid="{33744325-64D6-46A0-93CC-2200BA40DAC0}" uniqueName="2" name="Order Date" queryTableFieldId="2" dataDxfId="46"/>
    <tableColumn id="3" xr3:uid="{1B06436F-FCD0-4780-A4BF-78A3E5229217}" uniqueName="3" name="Customer" queryTableFieldId="3" dataDxfId="45"/>
    <tableColumn id="4" xr3:uid="{9765E680-CFEA-42B7-B016-F19D1DA22C18}" uniqueName="4" name="Country" queryTableFieldId="4" dataDxfId="44"/>
    <tableColumn id="5" xr3:uid="{A646431F-5210-48B8-9C4A-C5EC8308B8A1}" uniqueName="5" name="Category" queryTableFieldId="5" dataDxfId="43"/>
    <tableColumn id="6" xr3:uid="{BAFDF616-7990-43C8-AF04-90F2FEFF76E0}" uniqueName="6" name="Sales Person" queryTableFieldId="6" dataDxfId="42"/>
    <tableColumn id="7" xr3:uid="{62167962-9791-4282-8982-E856C134738E}" uniqueName="7" name="Sales" queryTableFieldId="7"/>
    <tableColumn id="8" xr3:uid="{2C39893F-3F79-4891-AF0D-EF2219F9F775}" uniqueName="8" name="Quantity" queryTableFieldId="8"/>
    <tableColumn id="9" xr3:uid="{2B262EDF-EC1F-497B-90DC-3E371D69DB9C}" uniqueName="9" name="Profit"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B62CA0B-2ADC-48C5-ABAB-4DFF379DF6AF}" name="Table11" displayName="Table11" ref="A5:C20" totalsRowShown="0" headerRowDxfId="37" dataDxfId="36">
  <autoFilter ref="A5:C20" xr:uid="{09E3DA75-6120-4DE5-8F00-DBF8189F1923}"/>
  <tableColumns count="3">
    <tableColumn id="1" xr3:uid="{8B0A002A-0D3E-4A68-8268-834E9FDAE7DC}" name="S.No" dataDxfId="35"/>
    <tableColumn id="2" xr3:uid="{76F5F831-C4E3-44E4-B17F-6BAEEA1CCD4D}" name="Sales" dataDxfId="34"/>
    <tableColumn id="3" xr3:uid="{A0448F70-548D-47AB-A985-810751BC20CE}" name="values" dataDxfId="33"/>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9855E3F-CAE1-42C3-9C3C-73FC35DDBFED}" name="Table22" displayName="Table22" ref="A1:D11" totalsRowShown="0" headerRowDxfId="14" dataDxfId="13">
  <autoFilter ref="A1:D11" xr:uid="{EF1848E4-B3BE-4176-ADD7-872384BA1B4C}"/>
  <tableColumns count="4">
    <tableColumn id="1" xr3:uid="{142CF87E-0D63-421F-8F98-EDF8E08B233F}" name="NO." dataDxfId="6"/>
    <tableColumn id="2" xr3:uid="{E90C0A43-6B56-4C86-B361-40B060769B97}" name="Bussiness QUESTION" dataDxfId="7"/>
    <tableColumn id="3" xr3:uid="{A731D586-76F9-4A7E-A0F9-AC409FFBA82B}" name="Finding/Insight" dataDxfId="12"/>
    <tableColumn id="4" xr3:uid="{891DE4F6-F612-452D-B9B7-FB1E75A21A54}" name="Evidence" dataDxfId="11"/>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52A5A1-A773-4D35-A26B-44BECD390523}" name="Table23" displayName="Table23" ref="E1:E11" totalsRowShown="0" headerRowDxfId="10" dataDxfId="4" headerRowBorderDxfId="8" tableBorderDxfId="9">
  <autoFilter ref="E1:E11" xr:uid="{BA5513F9-614F-4258-A72D-CDCC6D24B831}"/>
  <tableColumns count="1">
    <tableColumn id="1" xr3:uid="{B461535F-EA1F-4B47-9B55-2BD783533179}" name="Business impact" dataDxfId="5"/>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F88239A-742B-4841-BB86-DBDAE9B8AA68}" name="Table24" displayName="Table24" ref="A1:B11" totalsRowShown="0" headerRowDxfId="3" dataDxfId="0">
  <autoFilter ref="A1:B11" xr:uid="{54F9A028-F15F-41A2-8546-5EC49B175636}"/>
  <tableColumns count="2">
    <tableColumn id="1" xr3:uid="{096A8AD9-5623-4B46-B1D9-F082DAF6E572}" name="Section " dataDxfId="2"/>
    <tableColumn id="2" xr3:uid="{80542272-92C0-4EC6-B392-CB20BB4025A1}" name="Content" dataDxfId="1"/>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3DA9A9B-5F10-4969-8313-A2C0A81AD66F}" sourceName="Order Date">
  <pivotTables>
    <pivotTable tabId="5" name="PivotTable18"/>
  </pivotTables>
  <state minimalRefreshVersion="6" lastRefreshVersion="6" pivotCacheId="1105556057" filterType="unknown">
    <bounds startDate="2026-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F928EFCF-F421-4C3F-9519-322D22382122}" sourceName="Order Date">
  <state minimalRefreshVersion="6" lastRefreshVersion="6" pivotCacheId="1105556057"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03DB0AB-F4CE-40C3-9DBA-472D36B7B907}" cache="NativeTimeline_Order_Date" caption="Order Date" level="2" selectionLevel="2" scrollPosition="2026-06-07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BEB5646E-EA9E-4B01-880D-A4E7FC6A7898}" cache="NativeTimeline_Order_Date1" caption="Order Date" level="2" selectionLevel="2" scrollPosition="2026-03-25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microsoft.com/office/2011/relationships/timeline" Target="../timelines/timeline1.xml"/><Relationship Id="rId4" Type="http://schemas.openxmlformats.org/officeDocument/2006/relationships/pivotTable" Target="../pivotTables/pivotTable5.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BF4FA-C76C-4887-9196-5FDAF6676230}">
  <dimension ref="A1:I51"/>
  <sheetViews>
    <sheetView workbookViewId="0">
      <selection activeCell="M5" sqref="M5"/>
    </sheetView>
  </sheetViews>
  <sheetFormatPr defaultRowHeight="15" x14ac:dyDescent="0.25"/>
  <cols>
    <col min="1" max="1" width="13" bestFit="1" customWidth="1"/>
    <col min="2" max="2" width="10.7109375" bestFit="1" customWidth="1"/>
    <col min="3" max="3" width="13.42578125" bestFit="1" customWidth="1"/>
    <col min="4" max="4" width="12.5703125" bestFit="1" customWidth="1"/>
    <col min="5" max="5" width="13.42578125" bestFit="1" customWidth="1"/>
    <col min="6" max="6" width="14.7109375" customWidth="1"/>
    <col min="7" max="7" width="7.85546875" customWidth="1"/>
    <col min="8" max="8" width="9.5703125" customWidth="1"/>
    <col min="9" max="9" width="8" customWidth="1"/>
  </cols>
  <sheetData>
    <row r="1" spans="1:9" ht="26.25" customHeight="1" x14ac:dyDescent="0.25">
      <c r="A1" s="1" t="s">
        <v>19</v>
      </c>
      <c r="B1" s="1" t="s">
        <v>20</v>
      </c>
      <c r="C1" s="1" t="s">
        <v>21</v>
      </c>
      <c r="D1" s="1" t="s">
        <v>22</v>
      </c>
      <c r="E1" s="1" t="s">
        <v>23</v>
      </c>
      <c r="F1" s="1" t="s">
        <v>24</v>
      </c>
      <c r="G1" s="2" t="s">
        <v>1</v>
      </c>
      <c r="H1" s="2" t="s">
        <v>25</v>
      </c>
      <c r="I1" s="2" t="s">
        <v>26</v>
      </c>
    </row>
    <row r="2" spans="1:9" ht="30" x14ac:dyDescent="0.25">
      <c r="A2" s="3" t="s">
        <v>27</v>
      </c>
      <c r="B2" s="4">
        <v>46027</v>
      </c>
      <c r="C2" s="3" t="s">
        <v>0</v>
      </c>
      <c r="D2" s="3" t="s">
        <v>28</v>
      </c>
      <c r="E2" s="3" t="s">
        <v>29</v>
      </c>
      <c r="F2" s="3" t="s">
        <v>5</v>
      </c>
      <c r="G2" s="5">
        <v>25000</v>
      </c>
      <c r="H2" s="5">
        <v>5</v>
      </c>
      <c r="I2" s="5">
        <v>5000</v>
      </c>
    </row>
    <row r="3" spans="1:9" ht="30" x14ac:dyDescent="0.25">
      <c r="A3" s="3" t="s">
        <v>30</v>
      </c>
      <c r="B3" s="4">
        <v>46030</v>
      </c>
      <c r="C3" s="3" t="s">
        <v>2</v>
      </c>
      <c r="D3" s="3" t="s">
        <v>31</v>
      </c>
      <c r="E3" s="3" t="s">
        <v>32</v>
      </c>
      <c r="F3" s="3" t="s">
        <v>4</v>
      </c>
      <c r="G3" s="5">
        <v>32000</v>
      </c>
      <c r="H3" s="5">
        <v>4</v>
      </c>
      <c r="I3" s="5">
        <v>6400</v>
      </c>
    </row>
    <row r="4" spans="1:9" ht="30" x14ac:dyDescent="0.25">
      <c r="A4" s="3" t="s">
        <v>33</v>
      </c>
      <c r="B4" s="4">
        <v>46034</v>
      </c>
      <c r="C4" s="3" t="s">
        <v>9</v>
      </c>
      <c r="D4" s="3" t="s">
        <v>28</v>
      </c>
      <c r="E4" s="3" t="s">
        <v>34</v>
      </c>
      <c r="F4" s="3" t="s">
        <v>3</v>
      </c>
      <c r="G4" s="5">
        <v>18000</v>
      </c>
      <c r="H4" s="5">
        <v>8</v>
      </c>
      <c r="I4" s="5">
        <v>3600</v>
      </c>
    </row>
    <row r="5" spans="1:9" ht="30" x14ac:dyDescent="0.25">
      <c r="A5" s="3" t="s">
        <v>35</v>
      </c>
      <c r="B5" s="4">
        <v>46040</v>
      </c>
      <c r="C5" s="3" t="s">
        <v>8</v>
      </c>
      <c r="D5" s="3" t="s">
        <v>36</v>
      </c>
      <c r="E5" s="3" t="s">
        <v>29</v>
      </c>
      <c r="F5" s="3" t="s">
        <v>2</v>
      </c>
      <c r="G5" s="5">
        <v>45000</v>
      </c>
      <c r="H5" s="5">
        <v>6</v>
      </c>
      <c r="I5" s="5">
        <v>9000</v>
      </c>
    </row>
    <row r="6" spans="1:9" ht="30" x14ac:dyDescent="0.25">
      <c r="A6" s="3" t="s">
        <v>37</v>
      </c>
      <c r="B6" s="4">
        <v>46047</v>
      </c>
      <c r="C6" s="3" t="s">
        <v>6</v>
      </c>
      <c r="D6" s="3" t="s">
        <v>38</v>
      </c>
      <c r="E6" s="3" t="s">
        <v>32</v>
      </c>
      <c r="F6" s="3" t="s">
        <v>4</v>
      </c>
      <c r="G6" s="5">
        <v>28000</v>
      </c>
      <c r="H6" s="5">
        <v>3</v>
      </c>
      <c r="I6" s="5">
        <v>5600</v>
      </c>
    </row>
    <row r="7" spans="1:9" ht="30" x14ac:dyDescent="0.25">
      <c r="A7" s="3" t="s">
        <v>39</v>
      </c>
      <c r="B7" s="4">
        <v>46055</v>
      </c>
      <c r="C7" s="3" t="s">
        <v>7</v>
      </c>
      <c r="D7" s="3" t="s">
        <v>28</v>
      </c>
      <c r="E7" s="3" t="s">
        <v>29</v>
      </c>
      <c r="F7" s="3" t="s">
        <v>5</v>
      </c>
      <c r="G7" s="5">
        <v>52000</v>
      </c>
      <c r="H7" s="5">
        <v>7</v>
      </c>
      <c r="I7" s="5">
        <v>10400</v>
      </c>
    </row>
    <row r="8" spans="1:9" ht="30" x14ac:dyDescent="0.25">
      <c r="A8" s="3" t="s">
        <v>40</v>
      </c>
      <c r="B8" s="4">
        <v>46059</v>
      </c>
      <c r="C8" s="3" t="s">
        <v>12</v>
      </c>
      <c r="D8" s="3" t="s">
        <v>31</v>
      </c>
      <c r="E8" s="3" t="s">
        <v>34</v>
      </c>
      <c r="F8" s="3" t="s">
        <v>3</v>
      </c>
      <c r="G8" s="5">
        <v>22000</v>
      </c>
      <c r="H8" s="5">
        <v>10</v>
      </c>
      <c r="I8" s="5">
        <v>4400</v>
      </c>
    </row>
    <row r="9" spans="1:9" ht="30" x14ac:dyDescent="0.25">
      <c r="A9" s="3" t="s">
        <v>41</v>
      </c>
      <c r="B9" s="4">
        <v>46064</v>
      </c>
      <c r="C9" s="3" t="s">
        <v>11</v>
      </c>
      <c r="D9" s="3" t="s">
        <v>36</v>
      </c>
      <c r="E9" s="3" t="s">
        <v>32</v>
      </c>
      <c r="F9" s="3" t="s">
        <v>2</v>
      </c>
      <c r="G9" s="5">
        <v>35000</v>
      </c>
      <c r="H9" s="5">
        <v>5</v>
      </c>
      <c r="I9" s="5">
        <v>7000</v>
      </c>
    </row>
    <row r="10" spans="1:9" ht="30" x14ac:dyDescent="0.25">
      <c r="A10" s="3" t="s">
        <v>42</v>
      </c>
      <c r="B10" s="4">
        <v>46070</v>
      </c>
      <c r="C10" s="3" t="s">
        <v>10</v>
      </c>
      <c r="D10" s="3" t="s">
        <v>43</v>
      </c>
      <c r="E10" s="3" t="s">
        <v>29</v>
      </c>
      <c r="F10" s="3" t="s">
        <v>4</v>
      </c>
      <c r="G10" s="5">
        <v>41000</v>
      </c>
      <c r="H10" s="5">
        <v>4</v>
      </c>
      <c r="I10" s="5">
        <v>8200</v>
      </c>
    </row>
    <row r="11" spans="1:9" ht="30" x14ac:dyDescent="0.25">
      <c r="A11" s="3" t="s">
        <v>44</v>
      </c>
      <c r="B11" s="4">
        <v>46077</v>
      </c>
      <c r="C11" s="3" t="s">
        <v>13</v>
      </c>
      <c r="D11" s="3" t="s">
        <v>28</v>
      </c>
      <c r="E11" s="3" t="s">
        <v>34</v>
      </c>
      <c r="F11" s="3" t="s">
        <v>5</v>
      </c>
      <c r="G11" s="5">
        <v>19000</v>
      </c>
      <c r="H11" s="5">
        <v>9</v>
      </c>
      <c r="I11" s="5">
        <v>3800</v>
      </c>
    </row>
    <row r="12" spans="1:9" ht="30" x14ac:dyDescent="0.25">
      <c r="A12" s="3" t="s">
        <v>45</v>
      </c>
      <c r="B12" s="4">
        <v>46084</v>
      </c>
      <c r="C12" s="3" t="s">
        <v>14</v>
      </c>
      <c r="D12" s="3" t="s">
        <v>31</v>
      </c>
      <c r="E12" s="3" t="s">
        <v>29</v>
      </c>
      <c r="F12" s="3" t="s">
        <v>3</v>
      </c>
      <c r="G12" s="5">
        <v>58000</v>
      </c>
      <c r="H12" s="5">
        <v>8</v>
      </c>
      <c r="I12" s="5">
        <v>11600</v>
      </c>
    </row>
    <row r="13" spans="1:9" ht="30" x14ac:dyDescent="0.25">
      <c r="A13" s="3" t="s">
        <v>46</v>
      </c>
      <c r="B13" s="4">
        <v>46090</v>
      </c>
      <c r="C13" s="3" t="s">
        <v>15</v>
      </c>
      <c r="D13" s="3" t="s">
        <v>36</v>
      </c>
      <c r="E13" s="3" t="s">
        <v>32</v>
      </c>
      <c r="F13" s="3" t="s">
        <v>2</v>
      </c>
      <c r="G13" s="5">
        <v>27000</v>
      </c>
      <c r="H13" s="5">
        <v>3</v>
      </c>
      <c r="I13" s="5">
        <v>5400</v>
      </c>
    </row>
    <row r="14" spans="1:9" ht="30" x14ac:dyDescent="0.25">
      <c r="A14" s="3" t="s">
        <v>47</v>
      </c>
      <c r="B14" s="4">
        <v>46096</v>
      </c>
      <c r="C14" s="3" t="s">
        <v>18</v>
      </c>
      <c r="D14" s="3" t="s">
        <v>38</v>
      </c>
      <c r="E14" s="3" t="s">
        <v>34</v>
      </c>
      <c r="F14" s="3" t="s">
        <v>4</v>
      </c>
      <c r="G14" s="5">
        <v>24000</v>
      </c>
      <c r="H14" s="5">
        <v>7</v>
      </c>
      <c r="I14" s="5">
        <v>4800</v>
      </c>
    </row>
    <row r="15" spans="1:9" ht="30" x14ac:dyDescent="0.25">
      <c r="A15" s="3" t="s">
        <v>48</v>
      </c>
      <c r="B15" s="4">
        <v>46102</v>
      </c>
      <c r="C15" s="3" t="s">
        <v>17</v>
      </c>
      <c r="D15" s="3" t="s">
        <v>28</v>
      </c>
      <c r="E15" s="3" t="s">
        <v>29</v>
      </c>
      <c r="F15" s="3" t="s">
        <v>5</v>
      </c>
      <c r="G15" s="5">
        <v>63000</v>
      </c>
      <c r="H15" s="5">
        <v>9</v>
      </c>
      <c r="I15" s="5">
        <v>12600</v>
      </c>
    </row>
    <row r="16" spans="1:9" ht="30" x14ac:dyDescent="0.25">
      <c r="A16" s="3" t="s">
        <v>49</v>
      </c>
      <c r="B16" s="4">
        <v>46109</v>
      </c>
      <c r="C16" s="3" t="s">
        <v>16</v>
      </c>
      <c r="D16" s="3" t="s">
        <v>43</v>
      </c>
      <c r="E16" s="3" t="s">
        <v>32</v>
      </c>
      <c r="F16" s="3" t="s">
        <v>3</v>
      </c>
      <c r="G16" s="5">
        <v>38000</v>
      </c>
      <c r="H16" s="5">
        <v>5</v>
      </c>
      <c r="I16" s="5">
        <v>7600</v>
      </c>
    </row>
    <row r="17" spans="1:9" ht="30" x14ac:dyDescent="0.25">
      <c r="A17" s="3" t="s">
        <v>50</v>
      </c>
      <c r="B17" s="4">
        <v>46116</v>
      </c>
      <c r="C17" s="3" t="s">
        <v>0</v>
      </c>
      <c r="D17" s="3" t="s">
        <v>28</v>
      </c>
      <c r="E17" s="3" t="s">
        <v>34</v>
      </c>
      <c r="F17" s="3" t="s">
        <v>2</v>
      </c>
      <c r="G17" s="5">
        <v>21000</v>
      </c>
      <c r="H17" s="5">
        <v>6</v>
      </c>
      <c r="I17" s="5">
        <v>4200</v>
      </c>
    </row>
    <row r="18" spans="1:9" ht="30" x14ac:dyDescent="0.25">
      <c r="A18" s="3" t="s">
        <v>51</v>
      </c>
      <c r="B18" s="4">
        <v>46122</v>
      </c>
      <c r="C18" s="3" t="s">
        <v>2</v>
      </c>
      <c r="D18" s="3" t="s">
        <v>31</v>
      </c>
      <c r="E18" s="3" t="s">
        <v>29</v>
      </c>
      <c r="F18" s="3" t="s">
        <v>4</v>
      </c>
      <c r="G18" s="5">
        <v>47000</v>
      </c>
      <c r="H18" s="5">
        <v>5</v>
      </c>
      <c r="I18" s="5">
        <v>9400</v>
      </c>
    </row>
    <row r="19" spans="1:9" ht="30" x14ac:dyDescent="0.25">
      <c r="A19" s="3" t="s">
        <v>52</v>
      </c>
      <c r="B19" s="4">
        <v>46128</v>
      </c>
      <c r="C19" s="3" t="s">
        <v>9</v>
      </c>
      <c r="D19" s="3" t="s">
        <v>36</v>
      </c>
      <c r="E19" s="3" t="s">
        <v>32</v>
      </c>
      <c r="F19" s="3" t="s">
        <v>5</v>
      </c>
      <c r="G19" s="5">
        <v>33000</v>
      </c>
      <c r="H19" s="5">
        <v>4</v>
      </c>
      <c r="I19" s="5">
        <v>6600</v>
      </c>
    </row>
    <row r="20" spans="1:9" ht="30" x14ac:dyDescent="0.25">
      <c r="A20" s="3" t="s">
        <v>53</v>
      </c>
      <c r="B20" s="4">
        <v>46134</v>
      </c>
      <c r="C20" s="3" t="s">
        <v>8</v>
      </c>
      <c r="D20" s="3" t="s">
        <v>28</v>
      </c>
      <c r="E20" s="3" t="s">
        <v>29</v>
      </c>
      <c r="F20" s="3" t="s">
        <v>3</v>
      </c>
      <c r="G20" s="5">
        <v>55000</v>
      </c>
      <c r="H20" s="5">
        <v>7</v>
      </c>
      <c r="I20" s="5">
        <v>11000</v>
      </c>
    </row>
    <row r="21" spans="1:9" ht="30" x14ac:dyDescent="0.25">
      <c r="A21" s="3" t="s">
        <v>54</v>
      </c>
      <c r="B21" s="4">
        <v>46141</v>
      </c>
      <c r="C21" s="3" t="s">
        <v>6</v>
      </c>
      <c r="D21" s="3" t="s">
        <v>38</v>
      </c>
      <c r="E21" s="3" t="s">
        <v>34</v>
      </c>
      <c r="F21" s="3" t="s">
        <v>2</v>
      </c>
      <c r="G21" s="5">
        <v>26000</v>
      </c>
      <c r="H21" s="5">
        <v>8</v>
      </c>
      <c r="I21" s="5">
        <v>5200</v>
      </c>
    </row>
    <row r="22" spans="1:9" ht="30" x14ac:dyDescent="0.25">
      <c r="A22" s="3" t="s">
        <v>55</v>
      </c>
      <c r="B22" s="4">
        <v>46147</v>
      </c>
      <c r="C22" s="3" t="s">
        <v>7</v>
      </c>
      <c r="D22" s="3" t="s">
        <v>43</v>
      </c>
      <c r="E22" s="3" t="s">
        <v>32</v>
      </c>
      <c r="F22" s="3" t="s">
        <v>4</v>
      </c>
      <c r="G22" s="5">
        <v>39000</v>
      </c>
      <c r="H22" s="5">
        <v>4</v>
      </c>
      <c r="I22" s="5">
        <v>7800</v>
      </c>
    </row>
    <row r="23" spans="1:9" ht="30" x14ac:dyDescent="0.25">
      <c r="A23" s="3" t="s">
        <v>56</v>
      </c>
      <c r="B23" s="4">
        <v>46153</v>
      </c>
      <c r="C23" s="3" t="s">
        <v>12</v>
      </c>
      <c r="D23" s="3" t="s">
        <v>28</v>
      </c>
      <c r="E23" s="3" t="s">
        <v>29</v>
      </c>
      <c r="F23" s="3" t="s">
        <v>5</v>
      </c>
      <c r="G23" s="5">
        <v>68000</v>
      </c>
      <c r="H23" s="5">
        <v>10</v>
      </c>
      <c r="I23" s="5">
        <v>13600</v>
      </c>
    </row>
    <row r="24" spans="1:9" ht="30" x14ac:dyDescent="0.25">
      <c r="A24" s="3" t="s">
        <v>57</v>
      </c>
      <c r="B24" s="4">
        <v>46159</v>
      </c>
      <c r="C24" s="3" t="s">
        <v>11</v>
      </c>
      <c r="D24" s="3" t="s">
        <v>31</v>
      </c>
      <c r="E24" s="3" t="s">
        <v>34</v>
      </c>
      <c r="F24" s="3" t="s">
        <v>3</v>
      </c>
      <c r="G24" s="5">
        <v>23000</v>
      </c>
      <c r="H24" s="5">
        <v>6</v>
      </c>
      <c r="I24" s="5">
        <v>4600</v>
      </c>
    </row>
    <row r="25" spans="1:9" ht="30" x14ac:dyDescent="0.25">
      <c r="A25" s="3" t="s">
        <v>58</v>
      </c>
      <c r="B25" s="4">
        <v>46165</v>
      </c>
      <c r="C25" s="3" t="s">
        <v>10</v>
      </c>
      <c r="D25" s="3" t="s">
        <v>36</v>
      </c>
      <c r="E25" s="3" t="s">
        <v>29</v>
      </c>
      <c r="F25" s="3" t="s">
        <v>2</v>
      </c>
      <c r="G25" s="5">
        <v>49000</v>
      </c>
      <c r="H25" s="5">
        <v>5</v>
      </c>
      <c r="I25" s="5">
        <v>9800</v>
      </c>
    </row>
    <row r="26" spans="1:9" ht="30" x14ac:dyDescent="0.25">
      <c r="A26" s="3" t="s">
        <v>59</v>
      </c>
      <c r="B26" s="4">
        <v>46172</v>
      </c>
      <c r="C26" s="3" t="s">
        <v>13</v>
      </c>
      <c r="D26" s="3" t="s">
        <v>28</v>
      </c>
      <c r="E26" s="3" t="s">
        <v>32</v>
      </c>
      <c r="F26" s="3" t="s">
        <v>4</v>
      </c>
      <c r="G26" s="5">
        <v>36000</v>
      </c>
      <c r="H26" s="5">
        <v>4</v>
      </c>
      <c r="I26" s="5">
        <v>7200</v>
      </c>
    </row>
    <row r="27" spans="1:9" ht="30" x14ac:dyDescent="0.25">
      <c r="A27" s="3" t="s">
        <v>60</v>
      </c>
      <c r="B27" s="4">
        <v>46179</v>
      </c>
      <c r="C27" s="3" t="s">
        <v>14</v>
      </c>
      <c r="D27" s="3" t="s">
        <v>31</v>
      </c>
      <c r="E27" s="3" t="s">
        <v>29</v>
      </c>
      <c r="F27" s="3" t="s">
        <v>5</v>
      </c>
      <c r="G27" s="5">
        <v>72000</v>
      </c>
      <c r="H27" s="5">
        <v>9</v>
      </c>
      <c r="I27" s="5">
        <v>14400</v>
      </c>
    </row>
    <row r="28" spans="1:9" ht="30" x14ac:dyDescent="0.25">
      <c r="A28" s="3" t="s">
        <v>61</v>
      </c>
      <c r="B28" s="4">
        <v>46185</v>
      </c>
      <c r="C28" s="3" t="s">
        <v>15</v>
      </c>
      <c r="D28" s="3" t="s">
        <v>43</v>
      </c>
      <c r="E28" s="3" t="s">
        <v>34</v>
      </c>
      <c r="F28" s="3" t="s">
        <v>3</v>
      </c>
      <c r="G28" s="5">
        <v>25000</v>
      </c>
      <c r="H28" s="5">
        <v>7</v>
      </c>
      <c r="I28" s="5">
        <v>5000</v>
      </c>
    </row>
    <row r="29" spans="1:9" ht="30" x14ac:dyDescent="0.25">
      <c r="A29" s="3" t="s">
        <v>62</v>
      </c>
      <c r="B29" s="4">
        <v>46191</v>
      </c>
      <c r="C29" s="3" t="s">
        <v>18</v>
      </c>
      <c r="D29" s="3" t="s">
        <v>28</v>
      </c>
      <c r="E29" s="3" t="s">
        <v>32</v>
      </c>
      <c r="F29" s="3" t="s">
        <v>2</v>
      </c>
      <c r="G29" s="5">
        <v>31000</v>
      </c>
      <c r="H29" s="5">
        <v>5</v>
      </c>
      <c r="I29" s="5">
        <v>6200</v>
      </c>
    </row>
    <row r="30" spans="1:9" ht="30" x14ac:dyDescent="0.25">
      <c r="A30" s="3" t="s">
        <v>63</v>
      </c>
      <c r="B30" s="4">
        <v>46197</v>
      </c>
      <c r="C30" s="3" t="s">
        <v>17</v>
      </c>
      <c r="D30" s="3" t="s">
        <v>36</v>
      </c>
      <c r="E30" s="3" t="s">
        <v>29</v>
      </c>
      <c r="F30" s="3" t="s">
        <v>4</v>
      </c>
      <c r="G30" s="5">
        <v>54000</v>
      </c>
      <c r="H30" s="5">
        <v>6</v>
      </c>
      <c r="I30" s="5">
        <v>10800</v>
      </c>
    </row>
    <row r="31" spans="1:9" ht="30" x14ac:dyDescent="0.25">
      <c r="A31" s="3" t="s">
        <v>64</v>
      </c>
      <c r="B31" s="4">
        <v>46203</v>
      </c>
      <c r="C31" s="3" t="s">
        <v>16</v>
      </c>
      <c r="D31" s="3" t="s">
        <v>38</v>
      </c>
      <c r="E31" s="3" t="s">
        <v>34</v>
      </c>
      <c r="F31" s="3" t="s">
        <v>5</v>
      </c>
      <c r="G31" s="5">
        <v>29000</v>
      </c>
      <c r="H31" s="5">
        <v>8</v>
      </c>
      <c r="I31" s="5">
        <v>5800</v>
      </c>
    </row>
    <row r="32" spans="1:9" ht="30" x14ac:dyDescent="0.25">
      <c r="A32" s="3" t="s">
        <v>65</v>
      </c>
      <c r="B32" s="4">
        <v>46210</v>
      </c>
      <c r="C32" s="3" t="s">
        <v>0</v>
      </c>
      <c r="D32" s="3" t="s">
        <v>28</v>
      </c>
      <c r="E32" s="3" t="s">
        <v>29</v>
      </c>
      <c r="F32" s="3" t="s">
        <v>3</v>
      </c>
      <c r="G32" s="5">
        <v>61000</v>
      </c>
      <c r="H32" s="5">
        <v>7</v>
      </c>
      <c r="I32" s="5">
        <v>12200</v>
      </c>
    </row>
    <row r="33" spans="1:9" ht="30" x14ac:dyDescent="0.25">
      <c r="A33" s="3" t="s">
        <v>66</v>
      </c>
      <c r="B33" s="4">
        <v>46216</v>
      </c>
      <c r="C33" s="3" t="s">
        <v>2</v>
      </c>
      <c r="D33" s="3" t="s">
        <v>31</v>
      </c>
      <c r="E33" s="3" t="s">
        <v>32</v>
      </c>
      <c r="F33" s="3" t="s">
        <v>2</v>
      </c>
      <c r="G33" s="5">
        <v>42000</v>
      </c>
      <c r="H33" s="5">
        <v>5</v>
      </c>
      <c r="I33" s="5">
        <v>8400</v>
      </c>
    </row>
    <row r="34" spans="1:9" ht="30" x14ac:dyDescent="0.25">
      <c r="A34" s="3" t="s">
        <v>67</v>
      </c>
      <c r="B34" s="4">
        <v>46222</v>
      </c>
      <c r="C34" s="3" t="s">
        <v>9</v>
      </c>
      <c r="D34" s="3" t="s">
        <v>43</v>
      </c>
      <c r="E34" s="3" t="s">
        <v>34</v>
      </c>
      <c r="F34" s="3" t="s">
        <v>4</v>
      </c>
      <c r="G34" s="5">
        <v>27000</v>
      </c>
      <c r="H34" s="5">
        <v>9</v>
      </c>
      <c r="I34" s="5">
        <v>5400</v>
      </c>
    </row>
    <row r="35" spans="1:9" ht="30" x14ac:dyDescent="0.25">
      <c r="A35" s="3" t="s">
        <v>68</v>
      </c>
      <c r="B35" s="4">
        <v>46228</v>
      </c>
      <c r="C35" s="3" t="s">
        <v>8</v>
      </c>
      <c r="D35" s="3" t="s">
        <v>28</v>
      </c>
      <c r="E35" s="3" t="s">
        <v>29</v>
      </c>
      <c r="F35" s="3" t="s">
        <v>5</v>
      </c>
      <c r="G35" s="5">
        <v>75000</v>
      </c>
      <c r="H35" s="5">
        <v>10</v>
      </c>
      <c r="I35" s="5">
        <v>15000</v>
      </c>
    </row>
    <row r="36" spans="1:9" ht="30" x14ac:dyDescent="0.25">
      <c r="A36" s="3" t="s">
        <v>69</v>
      </c>
      <c r="B36" s="4">
        <v>46234</v>
      </c>
      <c r="C36" s="3" t="s">
        <v>6</v>
      </c>
      <c r="D36" s="3" t="s">
        <v>36</v>
      </c>
      <c r="E36" s="3" t="s">
        <v>32</v>
      </c>
      <c r="F36" s="3" t="s">
        <v>3</v>
      </c>
      <c r="G36" s="5">
        <v>34000</v>
      </c>
      <c r="H36" s="5">
        <v>4</v>
      </c>
      <c r="I36" s="5">
        <v>6800</v>
      </c>
    </row>
    <row r="37" spans="1:9" ht="30" x14ac:dyDescent="0.25">
      <c r="A37" s="3" t="s">
        <v>70</v>
      </c>
      <c r="B37" s="4">
        <v>46240</v>
      </c>
      <c r="C37" s="3" t="s">
        <v>7</v>
      </c>
      <c r="D37" s="3" t="s">
        <v>28</v>
      </c>
      <c r="E37" s="3" t="s">
        <v>34</v>
      </c>
      <c r="F37" s="3" t="s">
        <v>2</v>
      </c>
      <c r="G37" s="5">
        <v>28000</v>
      </c>
      <c r="H37" s="5">
        <v>7</v>
      </c>
      <c r="I37" s="5">
        <v>5600</v>
      </c>
    </row>
    <row r="38" spans="1:9" ht="30" x14ac:dyDescent="0.25">
      <c r="A38" s="3" t="s">
        <v>71</v>
      </c>
      <c r="B38" s="4">
        <v>46246</v>
      </c>
      <c r="C38" s="3" t="s">
        <v>12</v>
      </c>
      <c r="D38" s="3" t="s">
        <v>31</v>
      </c>
      <c r="E38" s="3" t="s">
        <v>29</v>
      </c>
      <c r="F38" s="3" t="s">
        <v>4</v>
      </c>
      <c r="G38" s="5">
        <v>56000</v>
      </c>
      <c r="H38" s="5">
        <v>6</v>
      </c>
      <c r="I38" s="5">
        <v>11200</v>
      </c>
    </row>
    <row r="39" spans="1:9" ht="30" x14ac:dyDescent="0.25">
      <c r="A39" s="3" t="s">
        <v>72</v>
      </c>
      <c r="B39" s="4">
        <v>46252</v>
      </c>
      <c r="C39" s="3" t="s">
        <v>11</v>
      </c>
      <c r="D39" s="3" t="s">
        <v>43</v>
      </c>
      <c r="E39" s="3" t="s">
        <v>32</v>
      </c>
      <c r="F39" s="3" t="s">
        <v>5</v>
      </c>
      <c r="G39" s="5">
        <v>43000</v>
      </c>
      <c r="H39" s="5">
        <v>5</v>
      </c>
      <c r="I39" s="5">
        <v>8600</v>
      </c>
    </row>
    <row r="40" spans="1:9" ht="30" x14ac:dyDescent="0.25">
      <c r="A40" s="3" t="s">
        <v>73</v>
      </c>
      <c r="B40" s="4">
        <v>46258</v>
      </c>
      <c r="C40" s="3" t="s">
        <v>10</v>
      </c>
      <c r="D40" s="3" t="s">
        <v>28</v>
      </c>
      <c r="E40" s="3" t="s">
        <v>29</v>
      </c>
      <c r="F40" s="3" t="s">
        <v>3</v>
      </c>
      <c r="G40" s="5">
        <v>67000</v>
      </c>
      <c r="H40" s="5">
        <v>8</v>
      </c>
      <c r="I40" s="5">
        <v>13400</v>
      </c>
    </row>
    <row r="41" spans="1:9" ht="30" x14ac:dyDescent="0.25">
      <c r="A41" s="3" t="s">
        <v>74</v>
      </c>
      <c r="B41" s="4">
        <v>46264</v>
      </c>
      <c r="C41" s="3" t="s">
        <v>13</v>
      </c>
      <c r="D41" s="3" t="s">
        <v>38</v>
      </c>
      <c r="E41" s="3" t="s">
        <v>34</v>
      </c>
      <c r="F41" s="3" t="s">
        <v>2</v>
      </c>
      <c r="G41" s="5">
        <v>22000</v>
      </c>
      <c r="H41" s="5">
        <v>6</v>
      </c>
      <c r="I41" s="5">
        <v>4400</v>
      </c>
    </row>
    <row r="42" spans="1:9" ht="30" x14ac:dyDescent="0.25">
      <c r="A42" s="3" t="s">
        <v>75</v>
      </c>
      <c r="B42" s="4">
        <v>46270</v>
      </c>
      <c r="C42" s="3" t="s">
        <v>14</v>
      </c>
      <c r="D42" s="3" t="s">
        <v>28</v>
      </c>
      <c r="E42" s="3" t="s">
        <v>32</v>
      </c>
      <c r="F42" s="3" t="s">
        <v>4</v>
      </c>
      <c r="G42" s="5">
        <v>48000</v>
      </c>
      <c r="H42" s="5">
        <v>5</v>
      </c>
      <c r="I42" s="5">
        <v>9600</v>
      </c>
    </row>
    <row r="43" spans="1:9" ht="30" x14ac:dyDescent="0.25">
      <c r="A43" s="3" t="s">
        <v>76</v>
      </c>
      <c r="B43" s="4">
        <v>46276</v>
      </c>
      <c r="C43" s="3" t="s">
        <v>15</v>
      </c>
      <c r="D43" s="3" t="s">
        <v>31</v>
      </c>
      <c r="E43" s="3" t="s">
        <v>29</v>
      </c>
      <c r="F43" s="3" t="s">
        <v>5</v>
      </c>
      <c r="G43" s="5">
        <v>59000</v>
      </c>
      <c r="H43" s="5">
        <v>7</v>
      </c>
      <c r="I43" s="5">
        <v>11800</v>
      </c>
    </row>
    <row r="44" spans="1:9" ht="30" x14ac:dyDescent="0.25">
      <c r="A44" s="3" t="s">
        <v>77</v>
      </c>
      <c r="B44" s="4">
        <v>46282</v>
      </c>
      <c r="C44" s="3" t="s">
        <v>18</v>
      </c>
      <c r="D44" s="3" t="s">
        <v>36</v>
      </c>
      <c r="E44" s="3" t="s">
        <v>34</v>
      </c>
      <c r="F44" s="3" t="s">
        <v>3</v>
      </c>
      <c r="G44" s="5">
        <v>20000</v>
      </c>
      <c r="H44" s="5">
        <v>8</v>
      </c>
      <c r="I44" s="5">
        <v>4000</v>
      </c>
    </row>
    <row r="45" spans="1:9" ht="30" x14ac:dyDescent="0.25">
      <c r="A45" s="3" t="s">
        <v>78</v>
      </c>
      <c r="B45" s="4">
        <v>46288</v>
      </c>
      <c r="C45" s="3" t="s">
        <v>17</v>
      </c>
      <c r="D45" s="3" t="s">
        <v>28</v>
      </c>
      <c r="E45" s="3" t="s">
        <v>29</v>
      </c>
      <c r="F45" s="3" t="s">
        <v>2</v>
      </c>
      <c r="G45" s="5">
        <v>64000</v>
      </c>
      <c r="H45" s="5">
        <v>9</v>
      </c>
      <c r="I45" s="5">
        <v>12800</v>
      </c>
    </row>
    <row r="46" spans="1:9" ht="30" x14ac:dyDescent="0.25">
      <c r="A46" s="3" t="s">
        <v>79</v>
      </c>
      <c r="B46" s="4">
        <v>46294</v>
      </c>
      <c r="C46" s="3" t="s">
        <v>16</v>
      </c>
      <c r="D46" s="3" t="s">
        <v>43</v>
      </c>
      <c r="E46" s="3" t="s">
        <v>32</v>
      </c>
      <c r="F46" s="3" t="s">
        <v>4</v>
      </c>
      <c r="G46" s="5">
        <v>37000</v>
      </c>
      <c r="H46" s="5">
        <v>4</v>
      </c>
      <c r="I46" s="5">
        <v>7400</v>
      </c>
    </row>
    <row r="47" spans="1:9" ht="30" x14ac:dyDescent="0.25">
      <c r="A47" s="3" t="s">
        <v>80</v>
      </c>
      <c r="B47" s="4">
        <v>46300</v>
      </c>
      <c r="C47" s="3" t="s">
        <v>0</v>
      </c>
      <c r="D47" s="3" t="s">
        <v>28</v>
      </c>
      <c r="E47" s="3" t="s">
        <v>34</v>
      </c>
      <c r="F47" s="3" t="s">
        <v>5</v>
      </c>
      <c r="G47" s="5">
        <v>30000</v>
      </c>
      <c r="H47" s="5">
        <v>7</v>
      </c>
      <c r="I47" s="5">
        <v>6000</v>
      </c>
    </row>
    <row r="48" spans="1:9" ht="30" x14ac:dyDescent="0.25">
      <c r="A48" s="3" t="s">
        <v>81</v>
      </c>
      <c r="B48" s="4">
        <v>46306</v>
      </c>
      <c r="C48" s="3" t="s">
        <v>2</v>
      </c>
      <c r="D48" s="3" t="s">
        <v>31</v>
      </c>
      <c r="E48" s="3" t="s">
        <v>29</v>
      </c>
      <c r="F48" s="3" t="s">
        <v>3</v>
      </c>
      <c r="G48" s="5">
        <v>51000</v>
      </c>
      <c r="H48" s="5">
        <v>6</v>
      </c>
      <c r="I48" s="5">
        <v>10200</v>
      </c>
    </row>
    <row r="49" spans="1:9" ht="30" x14ac:dyDescent="0.25">
      <c r="A49" s="3" t="s">
        <v>82</v>
      </c>
      <c r="B49" s="4">
        <v>46312</v>
      </c>
      <c r="C49" s="3" t="s">
        <v>9</v>
      </c>
      <c r="D49" s="3" t="s">
        <v>36</v>
      </c>
      <c r="E49" s="3" t="s">
        <v>32</v>
      </c>
      <c r="F49" s="3" t="s">
        <v>2</v>
      </c>
      <c r="G49" s="5">
        <v>44000</v>
      </c>
      <c r="H49" s="5">
        <v>5</v>
      </c>
      <c r="I49" s="5">
        <v>8800</v>
      </c>
    </row>
    <row r="50" spans="1:9" ht="30" x14ac:dyDescent="0.25">
      <c r="A50" s="3" t="s">
        <v>83</v>
      </c>
      <c r="B50" s="4">
        <v>46318</v>
      </c>
      <c r="C50" s="3" t="s">
        <v>8</v>
      </c>
      <c r="D50" s="3" t="s">
        <v>28</v>
      </c>
      <c r="E50" s="3" t="s">
        <v>29</v>
      </c>
      <c r="F50" s="3" t="s">
        <v>4</v>
      </c>
      <c r="G50" s="5">
        <v>80000</v>
      </c>
      <c r="H50" s="5">
        <v>10</v>
      </c>
      <c r="I50" s="5">
        <v>16000</v>
      </c>
    </row>
    <row r="51" spans="1:9" ht="30" x14ac:dyDescent="0.25">
      <c r="A51" s="3" t="s">
        <v>84</v>
      </c>
      <c r="B51" s="4">
        <v>46324</v>
      </c>
      <c r="C51" s="3" t="s">
        <v>6</v>
      </c>
      <c r="D51" s="3" t="s">
        <v>38</v>
      </c>
      <c r="E51" s="3" t="s">
        <v>34</v>
      </c>
      <c r="F51" s="3" t="s">
        <v>5</v>
      </c>
      <c r="G51" s="5">
        <v>27000</v>
      </c>
      <c r="H51" s="5">
        <v>8</v>
      </c>
      <c r="I51" s="5">
        <v>5400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1B673-6F9C-4167-B4C9-3325F0CCD3D2}">
  <dimension ref="A1:I51"/>
  <sheetViews>
    <sheetView workbookViewId="0">
      <selection activeCell="M12" sqref="M12"/>
    </sheetView>
  </sheetViews>
  <sheetFormatPr defaultRowHeight="15" x14ac:dyDescent="0.25"/>
  <cols>
    <col min="2" max="2" width="13" bestFit="1" customWidth="1"/>
    <col min="5" max="5" width="14.5703125" bestFit="1" customWidth="1"/>
    <col min="6" max="6" width="14.42578125" bestFit="1" customWidth="1"/>
    <col min="9" max="9" width="10.28515625" customWidth="1"/>
  </cols>
  <sheetData>
    <row r="1" spans="1:9" x14ac:dyDescent="0.25">
      <c r="A1" t="s">
        <v>19</v>
      </c>
      <c r="B1" s="6" t="s">
        <v>20</v>
      </c>
      <c r="C1" t="s">
        <v>21</v>
      </c>
      <c r="D1" t="s">
        <v>22</v>
      </c>
      <c r="E1" t="s">
        <v>23</v>
      </c>
      <c r="F1" t="s">
        <v>24</v>
      </c>
      <c r="G1" t="s">
        <v>1</v>
      </c>
      <c r="H1" t="s">
        <v>25</v>
      </c>
      <c r="I1" t="s">
        <v>26</v>
      </c>
    </row>
    <row r="2" spans="1:9" x14ac:dyDescent="0.25">
      <c r="A2" t="s">
        <v>27</v>
      </c>
      <c r="B2" s="6">
        <v>46027</v>
      </c>
      <c r="C2" t="s">
        <v>0</v>
      </c>
      <c r="D2" t="s">
        <v>28</v>
      </c>
      <c r="E2" t="s">
        <v>29</v>
      </c>
      <c r="F2" t="s">
        <v>5</v>
      </c>
      <c r="G2">
        <v>25000</v>
      </c>
      <c r="H2">
        <v>5</v>
      </c>
      <c r="I2">
        <v>5000</v>
      </c>
    </row>
    <row r="3" spans="1:9" x14ac:dyDescent="0.25">
      <c r="A3" t="s">
        <v>30</v>
      </c>
      <c r="B3" s="6">
        <v>46030</v>
      </c>
      <c r="C3" t="s">
        <v>2</v>
      </c>
      <c r="D3" t="s">
        <v>31</v>
      </c>
      <c r="E3" t="s">
        <v>32</v>
      </c>
      <c r="F3" t="s">
        <v>4</v>
      </c>
      <c r="G3">
        <v>32000</v>
      </c>
      <c r="H3">
        <v>4</v>
      </c>
      <c r="I3">
        <v>6400</v>
      </c>
    </row>
    <row r="4" spans="1:9" x14ac:dyDescent="0.25">
      <c r="A4" t="s">
        <v>33</v>
      </c>
      <c r="B4" s="6">
        <v>46034</v>
      </c>
      <c r="C4" t="s">
        <v>9</v>
      </c>
      <c r="D4" t="s">
        <v>28</v>
      </c>
      <c r="E4" t="s">
        <v>34</v>
      </c>
      <c r="F4" t="s">
        <v>3</v>
      </c>
      <c r="G4">
        <v>18000</v>
      </c>
      <c r="H4">
        <v>8</v>
      </c>
      <c r="I4">
        <v>3600</v>
      </c>
    </row>
    <row r="5" spans="1:9" x14ac:dyDescent="0.25">
      <c r="A5" t="s">
        <v>35</v>
      </c>
      <c r="B5" s="6">
        <v>46040</v>
      </c>
      <c r="C5" t="s">
        <v>8</v>
      </c>
      <c r="D5" t="s">
        <v>36</v>
      </c>
      <c r="E5" t="s">
        <v>29</v>
      </c>
      <c r="F5" t="s">
        <v>2</v>
      </c>
      <c r="G5">
        <v>45000</v>
      </c>
      <c r="H5">
        <v>6</v>
      </c>
      <c r="I5">
        <v>9000</v>
      </c>
    </row>
    <row r="6" spans="1:9" x14ac:dyDescent="0.25">
      <c r="A6" t="s">
        <v>37</v>
      </c>
      <c r="B6" s="6">
        <v>46047</v>
      </c>
      <c r="C6" t="s">
        <v>6</v>
      </c>
      <c r="D6" t="s">
        <v>38</v>
      </c>
      <c r="E6" t="s">
        <v>32</v>
      </c>
      <c r="F6" t="s">
        <v>4</v>
      </c>
      <c r="G6">
        <v>28000</v>
      </c>
      <c r="H6">
        <v>3</v>
      </c>
      <c r="I6">
        <v>5600</v>
      </c>
    </row>
    <row r="7" spans="1:9" x14ac:dyDescent="0.25">
      <c r="A7" t="s">
        <v>39</v>
      </c>
      <c r="B7" s="6">
        <v>46055</v>
      </c>
      <c r="C7" t="s">
        <v>7</v>
      </c>
      <c r="D7" t="s">
        <v>28</v>
      </c>
      <c r="E7" t="s">
        <v>29</v>
      </c>
      <c r="F7" t="s">
        <v>5</v>
      </c>
      <c r="G7">
        <v>52000</v>
      </c>
      <c r="H7">
        <v>7</v>
      </c>
      <c r="I7">
        <v>10400</v>
      </c>
    </row>
    <row r="8" spans="1:9" x14ac:dyDescent="0.25">
      <c r="A8" t="s">
        <v>40</v>
      </c>
      <c r="B8" s="6">
        <v>46059</v>
      </c>
      <c r="C8" t="s">
        <v>12</v>
      </c>
      <c r="D8" t="s">
        <v>31</v>
      </c>
      <c r="E8" t="s">
        <v>34</v>
      </c>
      <c r="F8" t="s">
        <v>3</v>
      </c>
      <c r="G8">
        <v>22000</v>
      </c>
      <c r="H8">
        <v>10</v>
      </c>
      <c r="I8">
        <v>4400</v>
      </c>
    </row>
    <row r="9" spans="1:9" x14ac:dyDescent="0.25">
      <c r="A9" t="s">
        <v>41</v>
      </c>
      <c r="B9" s="6">
        <v>46064</v>
      </c>
      <c r="C9" t="s">
        <v>11</v>
      </c>
      <c r="D9" t="s">
        <v>36</v>
      </c>
      <c r="E9" t="s">
        <v>32</v>
      </c>
      <c r="F9" t="s">
        <v>2</v>
      </c>
      <c r="G9">
        <v>35000</v>
      </c>
      <c r="H9">
        <v>5</v>
      </c>
      <c r="I9">
        <v>7000</v>
      </c>
    </row>
    <row r="10" spans="1:9" x14ac:dyDescent="0.25">
      <c r="A10" t="s">
        <v>42</v>
      </c>
      <c r="B10" s="6">
        <v>46070</v>
      </c>
      <c r="C10" t="s">
        <v>10</v>
      </c>
      <c r="D10" t="s">
        <v>43</v>
      </c>
      <c r="E10" t="s">
        <v>29</v>
      </c>
      <c r="F10" t="s">
        <v>4</v>
      </c>
      <c r="G10">
        <v>41000</v>
      </c>
      <c r="H10">
        <v>4</v>
      </c>
      <c r="I10">
        <v>8200</v>
      </c>
    </row>
    <row r="11" spans="1:9" x14ac:dyDescent="0.25">
      <c r="A11" t="s">
        <v>44</v>
      </c>
      <c r="B11" s="6">
        <v>46077</v>
      </c>
      <c r="C11" t="s">
        <v>13</v>
      </c>
      <c r="D11" t="s">
        <v>28</v>
      </c>
      <c r="E11" t="s">
        <v>34</v>
      </c>
      <c r="F11" t="s">
        <v>5</v>
      </c>
      <c r="G11">
        <v>19000</v>
      </c>
      <c r="H11">
        <v>9</v>
      </c>
      <c r="I11">
        <v>3800</v>
      </c>
    </row>
    <row r="12" spans="1:9" x14ac:dyDescent="0.25">
      <c r="A12" t="s">
        <v>45</v>
      </c>
      <c r="B12" s="6">
        <v>46084</v>
      </c>
      <c r="C12" t="s">
        <v>14</v>
      </c>
      <c r="D12" t="s">
        <v>31</v>
      </c>
      <c r="E12" t="s">
        <v>29</v>
      </c>
      <c r="F12" t="s">
        <v>3</v>
      </c>
      <c r="G12">
        <v>58000</v>
      </c>
      <c r="H12">
        <v>8</v>
      </c>
      <c r="I12">
        <v>11600</v>
      </c>
    </row>
    <row r="13" spans="1:9" x14ac:dyDescent="0.25">
      <c r="A13" t="s">
        <v>46</v>
      </c>
      <c r="B13" s="6">
        <v>46090</v>
      </c>
      <c r="C13" t="s">
        <v>15</v>
      </c>
      <c r="D13" t="s">
        <v>36</v>
      </c>
      <c r="E13" t="s">
        <v>32</v>
      </c>
      <c r="F13" t="s">
        <v>2</v>
      </c>
      <c r="G13">
        <v>27000</v>
      </c>
      <c r="H13">
        <v>3</v>
      </c>
      <c r="I13">
        <v>5400</v>
      </c>
    </row>
    <row r="14" spans="1:9" x14ac:dyDescent="0.25">
      <c r="A14" t="s">
        <v>47</v>
      </c>
      <c r="B14" s="6">
        <v>46096</v>
      </c>
      <c r="C14" t="s">
        <v>18</v>
      </c>
      <c r="D14" t="s">
        <v>38</v>
      </c>
      <c r="E14" t="s">
        <v>34</v>
      </c>
      <c r="F14" t="s">
        <v>4</v>
      </c>
      <c r="G14">
        <v>24000</v>
      </c>
      <c r="H14">
        <v>7</v>
      </c>
      <c r="I14">
        <v>4800</v>
      </c>
    </row>
    <row r="15" spans="1:9" x14ac:dyDescent="0.25">
      <c r="A15" t="s">
        <v>48</v>
      </c>
      <c r="B15" s="6">
        <v>46102</v>
      </c>
      <c r="C15" t="s">
        <v>17</v>
      </c>
      <c r="D15" t="s">
        <v>28</v>
      </c>
      <c r="E15" t="s">
        <v>29</v>
      </c>
      <c r="F15" t="s">
        <v>5</v>
      </c>
      <c r="G15">
        <v>63000</v>
      </c>
      <c r="H15">
        <v>9</v>
      </c>
      <c r="I15">
        <v>12600</v>
      </c>
    </row>
    <row r="16" spans="1:9" x14ac:dyDescent="0.25">
      <c r="A16" t="s">
        <v>49</v>
      </c>
      <c r="B16" s="6">
        <v>46109</v>
      </c>
      <c r="C16" t="s">
        <v>16</v>
      </c>
      <c r="D16" t="s">
        <v>43</v>
      </c>
      <c r="E16" t="s">
        <v>32</v>
      </c>
      <c r="F16" t="s">
        <v>3</v>
      </c>
      <c r="G16">
        <v>38000</v>
      </c>
      <c r="H16">
        <v>5</v>
      </c>
      <c r="I16">
        <v>7600</v>
      </c>
    </row>
    <row r="17" spans="1:9" x14ac:dyDescent="0.25">
      <c r="A17" t="s">
        <v>50</v>
      </c>
      <c r="B17" s="6">
        <v>46116</v>
      </c>
      <c r="C17" t="s">
        <v>0</v>
      </c>
      <c r="D17" t="s">
        <v>28</v>
      </c>
      <c r="E17" t="s">
        <v>34</v>
      </c>
      <c r="F17" t="s">
        <v>2</v>
      </c>
      <c r="G17">
        <v>21000</v>
      </c>
      <c r="H17">
        <v>6</v>
      </c>
      <c r="I17">
        <v>4200</v>
      </c>
    </row>
    <row r="18" spans="1:9" x14ac:dyDescent="0.25">
      <c r="A18" t="s">
        <v>51</v>
      </c>
      <c r="B18" s="6">
        <v>46122</v>
      </c>
      <c r="C18" t="s">
        <v>2</v>
      </c>
      <c r="D18" t="s">
        <v>31</v>
      </c>
      <c r="E18" t="s">
        <v>29</v>
      </c>
      <c r="F18" t="s">
        <v>4</v>
      </c>
      <c r="G18">
        <v>47000</v>
      </c>
      <c r="H18">
        <v>5</v>
      </c>
      <c r="I18">
        <v>9400</v>
      </c>
    </row>
    <row r="19" spans="1:9" x14ac:dyDescent="0.25">
      <c r="A19" t="s">
        <v>52</v>
      </c>
      <c r="B19" s="6">
        <v>46128</v>
      </c>
      <c r="C19" t="s">
        <v>9</v>
      </c>
      <c r="D19" t="s">
        <v>36</v>
      </c>
      <c r="E19" t="s">
        <v>32</v>
      </c>
      <c r="F19" t="s">
        <v>5</v>
      </c>
      <c r="G19">
        <v>33000</v>
      </c>
      <c r="H19">
        <v>4</v>
      </c>
      <c r="I19">
        <v>6600</v>
      </c>
    </row>
    <row r="20" spans="1:9" x14ac:dyDescent="0.25">
      <c r="A20" t="s">
        <v>53</v>
      </c>
      <c r="B20" s="6">
        <v>46134</v>
      </c>
      <c r="C20" t="s">
        <v>8</v>
      </c>
      <c r="D20" t="s">
        <v>28</v>
      </c>
      <c r="E20" t="s">
        <v>29</v>
      </c>
      <c r="F20" t="s">
        <v>3</v>
      </c>
      <c r="G20">
        <v>55000</v>
      </c>
      <c r="H20">
        <v>7</v>
      </c>
      <c r="I20">
        <v>11000</v>
      </c>
    </row>
    <row r="21" spans="1:9" x14ac:dyDescent="0.25">
      <c r="A21" t="s">
        <v>54</v>
      </c>
      <c r="B21" s="6">
        <v>46141</v>
      </c>
      <c r="C21" t="s">
        <v>6</v>
      </c>
      <c r="D21" t="s">
        <v>38</v>
      </c>
      <c r="E21" t="s">
        <v>34</v>
      </c>
      <c r="F21" t="s">
        <v>2</v>
      </c>
      <c r="G21">
        <v>26000</v>
      </c>
      <c r="H21">
        <v>8</v>
      </c>
      <c r="I21">
        <v>5200</v>
      </c>
    </row>
    <row r="22" spans="1:9" x14ac:dyDescent="0.25">
      <c r="A22" t="s">
        <v>55</v>
      </c>
      <c r="B22" s="6">
        <v>46147</v>
      </c>
      <c r="C22" t="s">
        <v>7</v>
      </c>
      <c r="D22" t="s">
        <v>43</v>
      </c>
      <c r="E22" t="s">
        <v>32</v>
      </c>
      <c r="F22" t="s">
        <v>4</v>
      </c>
      <c r="G22">
        <v>39000</v>
      </c>
      <c r="H22">
        <v>4</v>
      </c>
      <c r="I22">
        <v>7800</v>
      </c>
    </row>
    <row r="23" spans="1:9" x14ac:dyDescent="0.25">
      <c r="A23" t="s">
        <v>56</v>
      </c>
      <c r="B23" s="6">
        <v>46153</v>
      </c>
      <c r="C23" t="s">
        <v>12</v>
      </c>
      <c r="D23" t="s">
        <v>28</v>
      </c>
      <c r="E23" t="s">
        <v>29</v>
      </c>
      <c r="F23" t="s">
        <v>5</v>
      </c>
      <c r="G23">
        <v>68000</v>
      </c>
      <c r="H23">
        <v>10</v>
      </c>
      <c r="I23">
        <v>13600</v>
      </c>
    </row>
    <row r="24" spans="1:9" x14ac:dyDescent="0.25">
      <c r="A24" t="s">
        <v>57</v>
      </c>
      <c r="B24" s="6">
        <v>46159</v>
      </c>
      <c r="C24" t="s">
        <v>11</v>
      </c>
      <c r="D24" t="s">
        <v>31</v>
      </c>
      <c r="E24" t="s">
        <v>34</v>
      </c>
      <c r="F24" t="s">
        <v>3</v>
      </c>
      <c r="G24">
        <v>23000</v>
      </c>
      <c r="H24">
        <v>6</v>
      </c>
      <c r="I24">
        <v>4600</v>
      </c>
    </row>
    <row r="25" spans="1:9" x14ac:dyDescent="0.25">
      <c r="A25" t="s">
        <v>58</v>
      </c>
      <c r="B25" s="6">
        <v>46165</v>
      </c>
      <c r="C25" t="s">
        <v>10</v>
      </c>
      <c r="D25" t="s">
        <v>36</v>
      </c>
      <c r="E25" t="s">
        <v>29</v>
      </c>
      <c r="F25" t="s">
        <v>2</v>
      </c>
      <c r="G25">
        <v>49000</v>
      </c>
      <c r="H25">
        <v>5</v>
      </c>
      <c r="I25">
        <v>9800</v>
      </c>
    </row>
    <row r="26" spans="1:9" x14ac:dyDescent="0.25">
      <c r="A26" t="s">
        <v>59</v>
      </c>
      <c r="B26" s="6">
        <v>46172</v>
      </c>
      <c r="C26" t="s">
        <v>13</v>
      </c>
      <c r="D26" t="s">
        <v>28</v>
      </c>
      <c r="E26" t="s">
        <v>32</v>
      </c>
      <c r="F26" t="s">
        <v>4</v>
      </c>
      <c r="G26">
        <v>36000</v>
      </c>
      <c r="H26">
        <v>4</v>
      </c>
      <c r="I26">
        <v>7200</v>
      </c>
    </row>
    <row r="27" spans="1:9" x14ac:dyDescent="0.25">
      <c r="A27" t="s">
        <v>60</v>
      </c>
      <c r="B27" s="6">
        <v>46179</v>
      </c>
      <c r="C27" t="s">
        <v>14</v>
      </c>
      <c r="D27" t="s">
        <v>31</v>
      </c>
      <c r="E27" t="s">
        <v>29</v>
      </c>
      <c r="F27" t="s">
        <v>5</v>
      </c>
      <c r="G27">
        <v>72000</v>
      </c>
      <c r="H27">
        <v>9</v>
      </c>
      <c r="I27">
        <v>14400</v>
      </c>
    </row>
    <row r="28" spans="1:9" x14ac:dyDescent="0.25">
      <c r="A28" t="s">
        <v>61</v>
      </c>
      <c r="B28" s="6">
        <v>46185</v>
      </c>
      <c r="C28" t="s">
        <v>15</v>
      </c>
      <c r="D28" t="s">
        <v>43</v>
      </c>
      <c r="E28" t="s">
        <v>34</v>
      </c>
      <c r="F28" t="s">
        <v>3</v>
      </c>
      <c r="G28">
        <v>25000</v>
      </c>
      <c r="H28">
        <v>7</v>
      </c>
      <c r="I28">
        <v>5000</v>
      </c>
    </row>
    <row r="29" spans="1:9" x14ac:dyDescent="0.25">
      <c r="A29" t="s">
        <v>62</v>
      </c>
      <c r="B29" s="6">
        <v>46191</v>
      </c>
      <c r="C29" t="s">
        <v>18</v>
      </c>
      <c r="D29" t="s">
        <v>28</v>
      </c>
      <c r="E29" t="s">
        <v>32</v>
      </c>
      <c r="F29" t="s">
        <v>2</v>
      </c>
      <c r="G29">
        <v>31000</v>
      </c>
      <c r="H29">
        <v>5</v>
      </c>
      <c r="I29">
        <v>6200</v>
      </c>
    </row>
    <row r="30" spans="1:9" x14ac:dyDescent="0.25">
      <c r="A30" t="s">
        <v>63</v>
      </c>
      <c r="B30" s="6">
        <v>46197</v>
      </c>
      <c r="C30" t="s">
        <v>17</v>
      </c>
      <c r="D30" t="s">
        <v>36</v>
      </c>
      <c r="E30" t="s">
        <v>29</v>
      </c>
      <c r="F30" t="s">
        <v>4</v>
      </c>
      <c r="G30">
        <v>54000</v>
      </c>
      <c r="H30">
        <v>6</v>
      </c>
      <c r="I30">
        <v>10800</v>
      </c>
    </row>
    <row r="31" spans="1:9" x14ac:dyDescent="0.25">
      <c r="A31" t="s">
        <v>64</v>
      </c>
      <c r="B31" s="6">
        <v>46203</v>
      </c>
      <c r="C31" t="s">
        <v>16</v>
      </c>
      <c r="D31" t="s">
        <v>38</v>
      </c>
      <c r="E31" t="s">
        <v>34</v>
      </c>
      <c r="F31" t="s">
        <v>5</v>
      </c>
      <c r="G31">
        <v>29000</v>
      </c>
      <c r="H31">
        <v>8</v>
      </c>
      <c r="I31">
        <v>5800</v>
      </c>
    </row>
    <row r="32" spans="1:9" x14ac:dyDescent="0.25">
      <c r="A32" t="s">
        <v>65</v>
      </c>
      <c r="B32" s="6">
        <v>46210</v>
      </c>
      <c r="C32" t="s">
        <v>0</v>
      </c>
      <c r="D32" t="s">
        <v>28</v>
      </c>
      <c r="E32" t="s">
        <v>29</v>
      </c>
      <c r="F32" t="s">
        <v>3</v>
      </c>
      <c r="G32">
        <v>61000</v>
      </c>
      <c r="H32">
        <v>7</v>
      </c>
      <c r="I32">
        <v>12200</v>
      </c>
    </row>
    <row r="33" spans="1:9" x14ac:dyDescent="0.25">
      <c r="A33" t="s">
        <v>66</v>
      </c>
      <c r="B33" s="6">
        <v>46216</v>
      </c>
      <c r="C33" t="s">
        <v>2</v>
      </c>
      <c r="D33" t="s">
        <v>31</v>
      </c>
      <c r="E33" t="s">
        <v>32</v>
      </c>
      <c r="F33" t="s">
        <v>2</v>
      </c>
      <c r="G33">
        <v>42000</v>
      </c>
      <c r="H33">
        <v>5</v>
      </c>
      <c r="I33">
        <v>8400</v>
      </c>
    </row>
    <row r="34" spans="1:9" x14ac:dyDescent="0.25">
      <c r="A34" t="s">
        <v>67</v>
      </c>
      <c r="B34" s="6">
        <v>46222</v>
      </c>
      <c r="C34" t="s">
        <v>9</v>
      </c>
      <c r="D34" t="s">
        <v>43</v>
      </c>
      <c r="E34" t="s">
        <v>34</v>
      </c>
      <c r="F34" t="s">
        <v>4</v>
      </c>
      <c r="G34">
        <v>27000</v>
      </c>
      <c r="H34">
        <v>9</v>
      </c>
      <c r="I34">
        <v>5400</v>
      </c>
    </row>
    <row r="35" spans="1:9" x14ac:dyDescent="0.25">
      <c r="A35" t="s">
        <v>68</v>
      </c>
      <c r="B35" s="6">
        <v>46228</v>
      </c>
      <c r="C35" t="s">
        <v>8</v>
      </c>
      <c r="D35" t="s">
        <v>28</v>
      </c>
      <c r="E35" t="s">
        <v>29</v>
      </c>
      <c r="F35" t="s">
        <v>5</v>
      </c>
      <c r="G35">
        <v>75000</v>
      </c>
      <c r="H35">
        <v>10</v>
      </c>
      <c r="I35">
        <v>15000</v>
      </c>
    </row>
    <row r="36" spans="1:9" x14ac:dyDescent="0.25">
      <c r="A36" t="s">
        <v>69</v>
      </c>
      <c r="B36" s="6">
        <v>46234</v>
      </c>
      <c r="C36" t="s">
        <v>6</v>
      </c>
      <c r="D36" t="s">
        <v>36</v>
      </c>
      <c r="E36" t="s">
        <v>32</v>
      </c>
      <c r="F36" t="s">
        <v>3</v>
      </c>
      <c r="G36">
        <v>34000</v>
      </c>
      <c r="H36">
        <v>4</v>
      </c>
      <c r="I36">
        <v>6800</v>
      </c>
    </row>
    <row r="37" spans="1:9" x14ac:dyDescent="0.25">
      <c r="A37" t="s">
        <v>70</v>
      </c>
      <c r="B37" s="6">
        <v>46240</v>
      </c>
      <c r="C37" t="s">
        <v>7</v>
      </c>
      <c r="D37" t="s">
        <v>28</v>
      </c>
      <c r="E37" t="s">
        <v>34</v>
      </c>
      <c r="F37" t="s">
        <v>2</v>
      </c>
      <c r="G37">
        <v>28000</v>
      </c>
      <c r="H37">
        <v>7</v>
      </c>
      <c r="I37">
        <v>5600</v>
      </c>
    </row>
    <row r="38" spans="1:9" x14ac:dyDescent="0.25">
      <c r="A38" t="s">
        <v>71</v>
      </c>
      <c r="B38" s="6">
        <v>46246</v>
      </c>
      <c r="C38" t="s">
        <v>12</v>
      </c>
      <c r="D38" t="s">
        <v>31</v>
      </c>
      <c r="E38" t="s">
        <v>29</v>
      </c>
      <c r="F38" t="s">
        <v>4</v>
      </c>
      <c r="G38">
        <v>56000</v>
      </c>
      <c r="H38">
        <v>6</v>
      </c>
      <c r="I38">
        <v>11200</v>
      </c>
    </row>
    <row r="39" spans="1:9" x14ac:dyDescent="0.25">
      <c r="A39" t="s">
        <v>72</v>
      </c>
      <c r="B39" s="6">
        <v>46252</v>
      </c>
      <c r="C39" t="s">
        <v>11</v>
      </c>
      <c r="D39" t="s">
        <v>43</v>
      </c>
      <c r="E39" t="s">
        <v>32</v>
      </c>
      <c r="F39" t="s">
        <v>5</v>
      </c>
      <c r="G39">
        <v>43000</v>
      </c>
      <c r="H39">
        <v>5</v>
      </c>
      <c r="I39">
        <v>8600</v>
      </c>
    </row>
    <row r="40" spans="1:9" x14ac:dyDescent="0.25">
      <c r="A40" t="s">
        <v>73</v>
      </c>
      <c r="B40" s="6">
        <v>46258</v>
      </c>
      <c r="C40" t="s">
        <v>10</v>
      </c>
      <c r="D40" t="s">
        <v>28</v>
      </c>
      <c r="E40" t="s">
        <v>29</v>
      </c>
      <c r="F40" t="s">
        <v>3</v>
      </c>
      <c r="G40">
        <v>67000</v>
      </c>
      <c r="H40">
        <v>8</v>
      </c>
      <c r="I40">
        <v>13400</v>
      </c>
    </row>
    <row r="41" spans="1:9" x14ac:dyDescent="0.25">
      <c r="A41" t="s">
        <v>74</v>
      </c>
      <c r="B41" s="6">
        <v>46264</v>
      </c>
      <c r="C41" t="s">
        <v>13</v>
      </c>
      <c r="D41" t="s">
        <v>38</v>
      </c>
      <c r="E41" t="s">
        <v>34</v>
      </c>
      <c r="F41" t="s">
        <v>2</v>
      </c>
      <c r="G41">
        <v>22000</v>
      </c>
      <c r="H41">
        <v>6</v>
      </c>
      <c r="I41">
        <v>4400</v>
      </c>
    </row>
    <row r="42" spans="1:9" x14ac:dyDescent="0.25">
      <c r="A42" t="s">
        <v>75</v>
      </c>
      <c r="B42" s="6">
        <v>46270</v>
      </c>
      <c r="C42" t="s">
        <v>14</v>
      </c>
      <c r="D42" t="s">
        <v>28</v>
      </c>
      <c r="E42" t="s">
        <v>32</v>
      </c>
      <c r="F42" t="s">
        <v>4</v>
      </c>
      <c r="G42">
        <v>48000</v>
      </c>
      <c r="H42">
        <v>5</v>
      </c>
      <c r="I42">
        <v>9600</v>
      </c>
    </row>
    <row r="43" spans="1:9" x14ac:dyDescent="0.25">
      <c r="A43" t="s">
        <v>76</v>
      </c>
      <c r="B43" s="6">
        <v>46276</v>
      </c>
      <c r="C43" t="s">
        <v>15</v>
      </c>
      <c r="D43" t="s">
        <v>31</v>
      </c>
      <c r="E43" t="s">
        <v>29</v>
      </c>
      <c r="F43" t="s">
        <v>5</v>
      </c>
      <c r="G43">
        <v>59000</v>
      </c>
      <c r="H43">
        <v>7</v>
      </c>
      <c r="I43">
        <v>11800</v>
      </c>
    </row>
    <row r="44" spans="1:9" x14ac:dyDescent="0.25">
      <c r="A44" t="s">
        <v>77</v>
      </c>
      <c r="B44" s="6">
        <v>46282</v>
      </c>
      <c r="C44" t="s">
        <v>18</v>
      </c>
      <c r="D44" t="s">
        <v>36</v>
      </c>
      <c r="E44" t="s">
        <v>34</v>
      </c>
      <c r="F44" t="s">
        <v>3</v>
      </c>
      <c r="G44">
        <v>20000</v>
      </c>
      <c r="H44">
        <v>8</v>
      </c>
      <c r="I44">
        <v>4000</v>
      </c>
    </row>
    <row r="45" spans="1:9" x14ac:dyDescent="0.25">
      <c r="A45" t="s">
        <v>78</v>
      </c>
      <c r="B45" s="6">
        <v>46288</v>
      </c>
      <c r="C45" t="s">
        <v>17</v>
      </c>
      <c r="D45" t="s">
        <v>28</v>
      </c>
      <c r="E45" t="s">
        <v>29</v>
      </c>
      <c r="F45" t="s">
        <v>2</v>
      </c>
      <c r="G45">
        <v>64000</v>
      </c>
      <c r="H45">
        <v>9</v>
      </c>
      <c r="I45">
        <v>12800</v>
      </c>
    </row>
    <row r="46" spans="1:9" x14ac:dyDescent="0.25">
      <c r="A46" t="s">
        <v>79</v>
      </c>
      <c r="B46" s="6">
        <v>46294</v>
      </c>
      <c r="C46" t="s">
        <v>16</v>
      </c>
      <c r="D46" t="s">
        <v>43</v>
      </c>
      <c r="E46" t="s">
        <v>32</v>
      </c>
      <c r="F46" t="s">
        <v>4</v>
      </c>
      <c r="G46">
        <v>37000</v>
      </c>
      <c r="H46">
        <v>4</v>
      </c>
      <c r="I46">
        <v>7400</v>
      </c>
    </row>
    <row r="47" spans="1:9" x14ac:dyDescent="0.25">
      <c r="A47" t="s">
        <v>80</v>
      </c>
      <c r="B47" s="6">
        <v>46300</v>
      </c>
      <c r="C47" t="s">
        <v>0</v>
      </c>
      <c r="D47" t="s">
        <v>28</v>
      </c>
      <c r="E47" t="s">
        <v>34</v>
      </c>
      <c r="F47" t="s">
        <v>5</v>
      </c>
      <c r="G47">
        <v>30000</v>
      </c>
      <c r="H47">
        <v>7</v>
      </c>
      <c r="I47">
        <v>6000</v>
      </c>
    </row>
    <row r="48" spans="1:9" x14ac:dyDescent="0.25">
      <c r="A48" t="s">
        <v>81</v>
      </c>
      <c r="B48" s="6">
        <v>46306</v>
      </c>
      <c r="C48" t="s">
        <v>2</v>
      </c>
      <c r="D48" t="s">
        <v>31</v>
      </c>
      <c r="E48" t="s">
        <v>29</v>
      </c>
      <c r="F48" t="s">
        <v>3</v>
      </c>
      <c r="G48">
        <v>51000</v>
      </c>
      <c r="H48">
        <v>6</v>
      </c>
      <c r="I48">
        <v>10200</v>
      </c>
    </row>
    <row r="49" spans="1:9" x14ac:dyDescent="0.25">
      <c r="A49" t="s">
        <v>82</v>
      </c>
      <c r="B49" s="6">
        <v>46312</v>
      </c>
      <c r="C49" t="s">
        <v>9</v>
      </c>
      <c r="D49" t="s">
        <v>36</v>
      </c>
      <c r="E49" t="s">
        <v>32</v>
      </c>
      <c r="F49" t="s">
        <v>2</v>
      </c>
      <c r="G49">
        <v>44000</v>
      </c>
      <c r="H49">
        <v>5</v>
      </c>
      <c r="I49">
        <v>8800</v>
      </c>
    </row>
    <row r="50" spans="1:9" x14ac:dyDescent="0.25">
      <c r="A50" t="s">
        <v>83</v>
      </c>
      <c r="B50" s="6">
        <v>46318</v>
      </c>
      <c r="C50" t="s">
        <v>8</v>
      </c>
      <c r="D50" t="s">
        <v>28</v>
      </c>
      <c r="E50" t="s">
        <v>29</v>
      </c>
      <c r="F50" t="s">
        <v>4</v>
      </c>
      <c r="G50">
        <v>80000</v>
      </c>
      <c r="H50">
        <v>10</v>
      </c>
      <c r="I50">
        <v>16000</v>
      </c>
    </row>
    <row r="51" spans="1:9" x14ac:dyDescent="0.25">
      <c r="A51" s="7" t="s">
        <v>84</v>
      </c>
      <c r="B51" s="8">
        <v>46324</v>
      </c>
      <c r="C51" s="9" t="s">
        <v>6</v>
      </c>
      <c r="D51" s="9" t="s">
        <v>38</v>
      </c>
      <c r="E51" s="9" t="s">
        <v>34</v>
      </c>
      <c r="F51" s="9" t="s">
        <v>5</v>
      </c>
      <c r="G51" s="9">
        <v>27000</v>
      </c>
      <c r="H51" s="9">
        <v>8</v>
      </c>
      <c r="I51" s="10">
        <v>5400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1AB90-86D0-4AA7-88FD-99ECFDCABC30}">
  <dimension ref="A1:I20"/>
  <sheetViews>
    <sheetView workbookViewId="0">
      <selection activeCell="C11" sqref="C11"/>
    </sheetView>
  </sheetViews>
  <sheetFormatPr defaultRowHeight="15" x14ac:dyDescent="0.25"/>
  <cols>
    <col min="1" max="1" width="13.140625" bestFit="1" customWidth="1"/>
    <col min="2" max="2" width="31" customWidth="1"/>
    <col min="3" max="3" width="23.7109375" customWidth="1"/>
    <col min="4" max="4" width="22.85546875" customWidth="1"/>
    <col min="5" max="5" width="26.5703125" customWidth="1"/>
    <col min="6" max="6" width="29.85546875" customWidth="1"/>
    <col min="7" max="7" width="22.28515625" customWidth="1"/>
    <col min="8" max="8" width="30.85546875" bestFit="1" customWidth="1"/>
    <col min="9" max="9" width="22.7109375" bestFit="1" customWidth="1"/>
  </cols>
  <sheetData>
    <row r="1" spans="1:9" ht="26.25" x14ac:dyDescent="0.4">
      <c r="D1" s="11"/>
    </row>
    <row r="5" spans="1:9" x14ac:dyDescent="0.25">
      <c r="A5" s="12" t="s">
        <v>85</v>
      </c>
      <c r="B5" s="12" t="s">
        <v>1</v>
      </c>
      <c r="C5" s="13" t="s">
        <v>86</v>
      </c>
    </row>
    <row r="6" spans="1:9" x14ac:dyDescent="0.25">
      <c r="A6" s="12">
        <v>1</v>
      </c>
      <c r="B6" s="12" t="s">
        <v>87</v>
      </c>
      <c r="C6" s="14">
        <f>SUM([1]!cleaned_data[Sales])</f>
        <v>2050000</v>
      </c>
    </row>
    <row r="7" spans="1:9" x14ac:dyDescent="0.25">
      <c r="A7" s="12">
        <v>2</v>
      </c>
      <c r="B7" s="12" t="s">
        <v>88</v>
      </c>
      <c r="C7" s="14">
        <f>AVERAGE([1]!cleaned_data[Sales])</f>
        <v>41000</v>
      </c>
    </row>
    <row r="8" spans="1:9" x14ac:dyDescent="0.25">
      <c r="A8" s="12">
        <v>3</v>
      </c>
      <c r="B8" s="12" t="s">
        <v>89</v>
      </c>
      <c r="C8" s="14">
        <f>MAX([1]!cleaned_data[Sales])</f>
        <v>80000</v>
      </c>
    </row>
    <row r="9" spans="1:9" x14ac:dyDescent="0.25">
      <c r="A9" s="12">
        <v>4</v>
      </c>
      <c r="B9" s="12" t="s">
        <v>90</v>
      </c>
      <c r="C9" s="14">
        <f>MIN([1]!cleaned_data[Sales])</f>
        <v>18000</v>
      </c>
      <c r="E9" s="21" t="s">
        <v>91</v>
      </c>
      <c r="F9" s="21" t="s">
        <v>92</v>
      </c>
      <c r="G9" s="22"/>
      <c r="H9" s="22"/>
      <c r="I9" s="22"/>
    </row>
    <row r="10" spans="1:9" x14ac:dyDescent="0.25">
      <c r="A10" s="12">
        <v>5</v>
      </c>
      <c r="B10" s="12" t="s">
        <v>93</v>
      </c>
      <c r="C10" s="13" t="s">
        <v>5</v>
      </c>
      <c r="E10" s="12" t="s">
        <v>28</v>
      </c>
      <c r="F10" s="16">
        <v>168200</v>
      </c>
    </row>
    <row r="11" spans="1:9" x14ac:dyDescent="0.25">
      <c r="A11" s="12">
        <v>6</v>
      </c>
      <c r="B11" s="12" t="s">
        <v>94</v>
      </c>
      <c r="C11" s="13" t="s">
        <v>2</v>
      </c>
      <c r="E11" s="12" t="s">
        <v>31</v>
      </c>
      <c r="F11" s="16">
        <v>92400</v>
      </c>
    </row>
    <row r="12" spans="1:9" x14ac:dyDescent="0.25">
      <c r="A12" s="12">
        <v>7</v>
      </c>
      <c r="B12" s="12" t="s">
        <v>95</v>
      </c>
      <c r="C12" s="17" t="s">
        <v>28</v>
      </c>
      <c r="E12" s="12" t="s">
        <v>36</v>
      </c>
      <c r="F12" s="16">
        <v>68200</v>
      </c>
    </row>
    <row r="13" spans="1:9" x14ac:dyDescent="0.25">
      <c r="A13" s="12">
        <v>8</v>
      </c>
      <c r="B13" s="12" t="s">
        <v>96</v>
      </c>
      <c r="C13" s="13" t="s">
        <v>38</v>
      </c>
      <c r="E13" s="12" t="s">
        <v>43</v>
      </c>
      <c r="F13" s="16">
        <v>50000</v>
      </c>
    </row>
    <row r="14" spans="1:9" x14ac:dyDescent="0.25">
      <c r="A14" s="12">
        <v>9</v>
      </c>
      <c r="B14" s="12" t="s">
        <v>97</v>
      </c>
      <c r="C14" s="13" t="s">
        <v>29</v>
      </c>
      <c r="E14" s="12" t="s">
        <v>38</v>
      </c>
      <c r="F14" s="16">
        <v>31200</v>
      </c>
    </row>
    <row r="15" spans="1:9" x14ac:dyDescent="0.25">
      <c r="A15" s="12">
        <v>10</v>
      </c>
      <c r="B15" s="12" t="s">
        <v>98</v>
      </c>
      <c r="C15" s="13" t="s">
        <v>99</v>
      </c>
      <c r="E15" s="18" t="s">
        <v>100</v>
      </c>
      <c r="F15" s="19">
        <v>410000</v>
      </c>
    </row>
    <row r="16" spans="1:9" x14ac:dyDescent="0.25">
      <c r="A16" s="12">
        <v>11</v>
      </c>
      <c r="B16" s="12" t="s">
        <v>101</v>
      </c>
      <c r="C16" s="14" t="s">
        <v>102</v>
      </c>
    </row>
    <row r="17" spans="1:7" x14ac:dyDescent="0.25">
      <c r="A17" s="12">
        <v>12</v>
      </c>
      <c r="B17" s="12" t="s">
        <v>92</v>
      </c>
      <c r="C17" s="14">
        <v>410000</v>
      </c>
    </row>
    <row r="18" spans="1:7" x14ac:dyDescent="0.25">
      <c r="A18" s="12">
        <v>13</v>
      </c>
      <c r="B18" s="12" t="s">
        <v>103</v>
      </c>
      <c r="C18" s="13" t="s">
        <v>29</v>
      </c>
      <c r="D18" s="20"/>
      <c r="E18" s="20"/>
      <c r="F18" s="20"/>
      <c r="G18" s="20"/>
    </row>
    <row r="19" spans="1:7" x14ac:dyDescent="0.25">
      <c r="A19" s="12">
        <v>14</v>
      </c>
      <c r="B19" s="12" t="s">
        <v>104</v>
      </c>
      <c r="C19" s="13" t="s">
        <v>5</v>
      </c>
    </row>
    <row r="20" spans="1:7" x14ac:dyDescent="0.25">
      <c r="A20" s="12">
        <v>15</v>
      </c>
      <c r="B20" s="12" t="s">
        <v>105</v>
      </c>
      <c r="C20" s="13" t="s">
        <v>28</v>
      </c>
    </row>
  </sheetData>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D0273-D243-4781-8BF8-FACA5C99DDD3}">
  <dimension ref="A2:W26"/>
  <sheetViews>
    <sheetView workbookViewId="0">
      <selection activeCell="P36" sqref="P36"/>
    </sheetView>
  </sheetViews>
  <sheetFormatPr defaultRowHeight="15" x14ac:dyDescent="0.25"/>
  <cols>
    <col min="1" max="1" width="13.140625" bestFit="1" customWidth="1"/>
    <col min="2" max="2" width="12.140625" bestFit="1" customWidth="1"/>
    <col min="3" max="4" width="13.140625" bestFit="1" customWidth="1"/>
    <col min="5" max="5" width="12.140625" bestFit="1" customWidth="1"/>
    <col min="6" max="6" width="15.7109375" bestFit="1" customWidth="1"/>
    <col min="7" max="7" width="14.5703125" bestFit="1" customWidth="1"/>
    <col min="8" max="8" width="12.140625" bestFit="1" customWidth="1"/>
    <col min="10" max="10" width="13.140625" bestFit="1" customWidth="1"/>
    <col min="11" max="11" width="12.140625" bestFit="1" customWidth="1"/>
    <col min="14" max="14" width="13.7109375" bestFit="1" customWidth="1"/>
  </cols>
  <sheetData>
    <row r="2" spans="1:23" x14ac:dyDescent="0.25">
      <c r="A2" s="21" t="s">
        <v>91</v>
      </c>
      <c r="B2" s="21" t="s">
        <v>106</v>
      </c>
      <c r="C2" s="22"/>
      <c r="D2" s="21" t="s">
        <v>91</v>
      </c>
      <c r="E2" s="21" t="s">
        <v>106</v>
      </c>
      <c r="F2" s="22"/>
      <c r="G2" s="21" t="s">
        <v>91</v>
      </c>
      <c r="H2" s="21" t="s">
        <v>106</v>
      </c>
      <c r="J2" s="28" t="s">
        <v>91</v>
      </c>
      <c r="K2" s="29" t="s">
        <v>106</v>
      </c>
      <c r="L2" s="22"/>
      <c r="M2" s="22"/>
    </row>
    <row r="3" spans="1:23" x14ac:dyDescent="0.25">
      <c r="A3" s="12" t="s">
        <v>2</v>
      </c>
      <c r="B3">
        <v>434000</v>
      </c>
      <c r="D3" s="12" t="s">
        <v>38</v>
      </c>
      <c r="E3">
        <v>156000</v>
      </c>
      <c r="G3" s="12" t="s">
        <v>29</v>
      </c>
      <c r="H3" s="24">
        <v>0.55707317073170737</v>
      </c>
      <c r="J3" s="25" t="s">
        <v>102</v>
      </c>
      <c r="K3">
        <v>148000</v>
      </c>
    </row>
    <row r="4" spans="1:23" x14ac:dyDescent="0.25">
      <c r="A4" s="12" t="s">
        <v>3</v>
      </c>
      <c r="B4">
        <v>472000</v>
      </c>
      <c r="D4" s="12" t="s">
        <v>43</v>
      </c>
      <c r="E4">
        <v>250000</v>
      </c>
      <c r="G4" s="12" t="s">
        <v>32</v>
      </c>
      <c r="H4" s="24">
        <v>0.26682926829268294</v>
      </c>
      <c r="J4" s="25" t="s">
        <v>107</v>
      </c>
      <c r="K4">
        <v>169000</v>
      </c>
    </row>
    <row r="5" spans="1:23" x14ac:dyDescent="0.25">
      <c r="A5" s="12" t="s">
        <v>4</v>
      </c>
      <c r="B5">
        <v>549000</v>
      </c>
      <c r="D5" s="12" t="s">
        <v>28</v>
      </c>
      <c r="E5">
        <v>841000</v>
      </c>
      <c r="G5" s="12" t="s">
        <v>34</v>
      </c>
      <c r="H5" s="24">
        <v>0.17609756097560975</v>
      </c>
      <c r="J5" s="25" t="s">
        <v>108</v>
      </c>
      <c r="K5">
        <v>210000</v>
      </c>
    </row>
    <row r="6" spans="1:23" x14ac:dyDescent="0.25">
      <c r="A6" s="12" t="s">
        <v>5</v>
      </c>
      <c r="B6">
        <v>595000</v>
      </c>
      <c r="D6" s="12" t="s">
        <v>36</v>
      </c>
      <c r="E6">
        <v>341000</v>
      </c>
      <c r="G6" s="18" t="s">
        <v>100</v>
      </c>
      <c r="H6" s="23">
        <v>1</v>
      </c>
      <c r="J6" s="25" t="s">
        <v>109</v>
      </c>
      <c r="K6">
        <v>182000</v>
      </c>
    </row>
    <row r="7" spans="1:23" x14ac:dyDescent="0.25">
      <c r="A7" s="15" t="s">
        <v>100</v>
      </c>
      <c r="B7" s="15">
        <v>2050000</v>
      </c>
      <c r="D7" s="12" t="s">
        <v>31</v>
      </c>
      <c r="E7">
        <v>462000</v>
      </c>
      <c r="J7" s="25" t="s">
        <v>110</v>
      </c>
      <c r="K7">
        <v>215000</v>
      </c>
    </row>
    <row r="8" spans="1:23" x14ac:dyDescent="0.25">
      <c r="D8" s="15" t="s">
        <v>100</v>
      </c>
      <c r="E8" s="15">
        <v>2050000</v>
      </c>
      <c r="J8" s="25" t="s">
        <v>111</v>
      </c>
      <c r="K8">
        <v>211000</v>
      </c>
    </row>
    <row r="9" spans="1:23" x14ac:dyDescent="0.25">
      <c r="A9" s="12" t="s">
        <v>87</v>
      </c>
      <c r="D9" s="12"/>
      <c r="J9" s="25" t="s">
        <v>112</v>
      </c>
      <c r="K9">
        <v>239000</v>
      </c>
    </row>
    <row r="10" spans="1:23" x14ac:dyDescent="0.25">
      <c r="A10" s="20">
        <f>GETPIVOTDATA("sum of sales",B3:B6)</f>
        <v>2050000</v>
      </c>
      <c r="J10" s="25" t="s">
        <v>113</v>
      </c>
      <c r="K10">
        <v>216000</v>
      </c>
    </row>
    <row r="11" spans="1:23" x14ac:dyDescent="0.25">
      <c r="J11" s="25" t="s">
        <v>114</v>
      </c>
      <c r="K11">
        <v>228000</v>
      </c>
    </row>
    <row r="12" spans="1:23" x14ac:dyDescent="0.25">
      <c r="A12" s="21" t="s">
        <v>115</v>
      </c>
      <c r="C12" s="21" t="s">
        <v>91</v>
      </c>
      <c r="D12" s="21" t="s">
        <v>116</v>
      </c>
      <c r="E12" s="22"/>
      <c r="F12" s="22"/>
      <c r="G12" s="22"/>
      <c r="H12" s="22"/>
      <c r="I12" s="22"/>
      <c r="J12" s="27" t="s">
        <v>117</v>
      </c>
      <c r="K12" s="22">
        <v>232000</v>
      </c>
      <c r="L12" s="22"/>
      <c r="M12" s="22"/>
      <c r="N12" s="22"/>
      <c r="O12" s="22"/>
      <c r="P12" s="22"/>
      <c r="Q12" s="22"/>
      <c r="R12" s="22"/>
      <c r="S12" s="22"/>
      <c r="T12" s="22"/>
      <c r="U12" s="22"/>
      <c r="V12" s="22"/>
      <c r="W12" s="22"/>
    </row>
    <row r="13" spans="1:23" x14ac:dyDescent="0.25">
      <c r="A13">
        <v>410000</v>
      </c>
      <c r="C13" s="25" t="s">
        <v>102</v>
      </c>
      <c r="D13">
        <v>5</v>
      </c>
      <c r="F13" s="21" t="s">
        <v>118</v>
      </c>
      <c r="J13" s="26" t="s">
        <v>100</v>
      </c>
      <c r="K13" s="15">
        <v>2050000</v>
      </c>
    </row>
    <row r="14" spans="1:23" x14ac:dyDescent="0.25">
      <c r="A14" t="s">
        <v>92</v>
      </c>
      <c r="C14" s="25" t="s">
        <v>107</v>
      </c>
      <c r="D14">
        <v>5</v>
      </c>
      <c r="F14">
        <v>41000</v>
      </c>
    </row>
    <row r="15" spans="1:23" x14ac:dyDescent="0.25">
      <c r="A15">
        <f>GETPIVOTDATA("sum of profit",A13)</f>
        <v>410000</v>
      </c>
      <c r="C15" s="25" t="s">
        <v>108</v>
      </c>
      <c r="D15">
        <v>5</v>
      </c>
      <c r="F15" t="s">
        <v>119</v>
      </c>
    </row>
    <row r="16" spans="1:23" x14ac:dyDescent="0.25">
      <c r="C16" s="25" t="s">
        <v>109</v>
      </c>
      <c r="D16">
        <v>5</v>
      </c>
      <c r="F16">
        <f>GETPIVOTDATA("Average of sales",F14)</f>
        <v>41000</v>
      </c>
    </row>
    <row r="17" spans="3:4" x14ac:dyDescent="0.25">
      <c r="C17" s="25" t="s">
        <v>110</v>
      </c>
      <c r="D17">
        <v>5</v>
      </c>
    </row>
    <row r="18" spans="3:4" x14ac:dyDescent="0.25">
      <c r="C18" s="25" t="s">
        <v>111</v>
      </c>
      <c r="D18">
        <v>5</v>
      </c>
    </row>
    <row r="19" spans="3:4" x14ac:dyDescent="0.25">
      <c r="C19" s="25" t="s">
        <v>112</v>
      </c>
      <c r="D19">
        <v>5</v>
      </c>
    </row>
    <row r="20" spans="3:4" x14ac:dyDescent="0.25">
      <c r="C20" s="25" t="s">
        <v>113</v>
      </c>
      <c r="D20">
        <v>5</v>
      </c>
    </row>
    <row r="21" spans="3:4" x14ac:dyDescent="0.25">
      <c r="C21" s="25" t="s">
        <v>114</v>
      </c>
      <c r="D21">
        <v>5</v>
      </c>
    </row>
    <row r="22" spans="3:4" x14ac:dyDescent="0.25">
      <c r="C22" s="25" t="s">
        <v>117</v>
      </c>
      <c r="D22">
        <v>5</v>
      </c>
    </row>
    <row r="23" spans="3:4" x14ac:dyDescent="0.25">
      <c r="C23" s="26" t="s">
        <v>100</v>
      </c>
      <c r="D23" s="15">
        <v>50</v>
      </c>
    </row>
    <row r="25" spans="3:4" x14ac:dyDescent="0.25">
      <c r="C25" s="25" t="s">
        <v>120</v>
      </c>
    </row>
    <row r="26" spans="3:4" x14ac:dyDescent="0.25">
      <c r="C26">
        <f>GETPIVOTDATA("count of sales",D23)</f>
        <v>50</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0DF13-D717-47DE-A059-EEF3DA7D7009}">
  <dimension ref="A2:U6"/>
  <sheetViews>
    <sheetView workbookViewId="0">
      <selection activeCell="F4" sqref="F4"/>
    </sheetView>
  </sheetViews>
  <sheetFormatPr defaultRowHeight="31.5" x14ac:dyDescent="0.5"/>
  <cols>
    <col min="1" max="1" width="7.7109375" style="30" customWidth="1"/>
    <col min="2" max="2" width="41" style="30" customWidth="1"/>
    <col min="3" max="3" width="3.5703125" style="30" customWidth="1"/>
    <col min="4" max="4" width="40.7109375" style="30" customWidth="1"/>
    <col min="5" max="5" width="3.7109375" style="30" customWidth="1"/>
    <col min="6" max="6" width="40.5703125" style="30" customWidth="1"/>
    <col min="7" max="7" width="3.42578125" style="30" customWidth="1"/>
    <col min="8" max="8" width="40.7109375" style="30" customWidth="1"/>
    <col min="9" max="21" width="16.5703125" style="30" customWidth="1"/>
  </cols>
  <sheetData>
    <row r="2" spans="2:8" ht="24" customHeight="1" x14ac:dyDescent="0.5"/>
    <row r="3" spans="2:8" ht="9" customHeight="1" x14ac:dyDescent="0.5"/>
    <row r="4" spans="2:8" ht="6.75" customHeight="1" x14ac:dyDescent="0.5"/>
    <row r="5" spans="2:8" ht="25.5" customHeight="1" x14ac:dyDescent="0.5">
      <c r="B5" s="31" t="s">
        <v>121</v>
      </c>
      <c r="D5" s="31" t="s">
        <v>92</v>
      </c>
      <c r="F5" s="31" t="s">
        <v>120</v>
      </c>
      <c r="H5" s="31" t="s">
        <v>122</v>
      </c>
    </row>
    <row r="6" spans="2:8" x14ac:dyDescent="0.5">
      <c r="B6" s="32">
        <f>'[1]Pivot analysis '!$A$10</f>
        <v>2050000</v>
      </c>
      <c r="D6" s="32">
        <f>'[1]Pivot analysis '!$A$15</f>
        <v>410000</v>
      </c>
      <c r="F6" s="32">
        <f>'[1]Pivot analysis '!$C$26</f>
        <v>50</v>
      </c>
      <c r="H6" s="32">
        <f>'[1]Pivot analysis '!$F$16</f>
        <v>41000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06BA1-CB4F-4C7C-9E20-6786BD7E495B}">
  <dimension ref="A1:E12"/>
  <sheetViews>
    <sheetView workbookViewId="0">
      <selection activeCell="G6" sqref="G6"/>
    </sheetView>
  </sheetViews>
  <sheetFormatPr defaultRowHeight="15" x14ac:dyDescent="0.25"/>
  <cols>
    <col min="2" max="2" width="53.7109375" customWidth="1"/>
    <col min="3" max="3" width="75.85546875" style="40" customWidth="1"/>
    <col min="4" max="4" width="43" customWidth="1"/>
    <col min="5" max="5" width="45.140625" customWidth="1"/>
  </cols>
  <sheetData>
    <row r="1" spans="1:5" ht="23.25" x14ac:dyDescent="0.25">
      <c r="A1" s="33" t="s">
        <v>123</v>
      </c>
      <c r="B1" s="33" t="s">
        <v>124</v>
      </c>
      <c r="C1" s="33" t="s">
        <v>125</v>
      </c>
      <c r="D1" s="33" t="s">
        <v>126</v>
      </c>
      <c r="E1" s="34" t="s">
        <v>127</v>
      </c>
    </row>
    <row r="2" spans="1:5" ht="69.75" customHeight="1" x14ac:dyDescent="0.25">
      <c r="A2" s="42">
        <v>1</v>
      </c>
      <c r="B2" s="35" t="s">
        <v>128</v>
      </c>
      <c r="C2" s="35" t="s">
        <v>129</v>
      </c>
      <c r="D2" s="36" t="s">
        <v>130</v>
      </c>
      <c r="E2" s="41" t="s">
        <v>131</v>
      </c>
    </row>
    <row r="3" spans="1:5" ht="53.25" customHeight="1" x14ac:dyDescent="0.25">
      <c r="A3" s="42">
        <v>2</v>
      </c>
      <c r="B3" s="35" t="s">
        <v>132</v>
      </c>
      <c r="C3" s="35" t="s">
        <v>133</v>
      </c>
      <c r="D3" s="36" t="s">
        <v>134</v>
      </c>
      <c r="E3" s="43" t="s">
        <v>135</v>
      </c>
    </row>
    <row r="4" spans="1:5" ht="53.25" customHeight="1" x14ac:dyDescent="0.25">
      <c r="A4" s="42">
        <v>3</v>
      </c>
      <c r="B4" s="35" t="s">
        <v>136</v>
      </c>
      <c r="C4" s="35" t="s">
        <v>137</v>
      </c>
      <c r="D4" s="36" t="s">
        <v>138</v>
      </c>
      <c r="E4" s="41" t="s">
        <v>139</v>
      </c>
    </row>
    <row r="5" spans="1:5" ht="37.5" customHeight="1" x14ac:dyDescent="0.25">
      <c r="A5" s="42">
        <v>4</v>
      </c>
      <c r="B5" s="35" t="s">
        <v>140</v>
      </c>
      <c r="C5" s="35" t="s">
        <v>141</v>
      </c>
      <c r="D5" s="36" t="s">
        <v>142</v>
      </c>
      <c r="E5" s="43" t="s">
        <v>143</v>
      </c>
    </row>
    <row r="6" spans="1:5" ht="52.5" customHeight="1" x14ac:dyDescent="0.25">
      <c r="A6" s="42">
        <v>5</v>
      </c>
      <c r="B6" s="35" t="s">
        <v>144</v>
      </c>
      <c r="C6" s="35" t="s">
        <v>145</v>
      </c>
      <c r="D6" s="36" t="s">
        <v>146</v>
      </c>
      <c r="E6" s="41" t="s">
        <v>147</v>
      </c>
    </row>
    <row r="7" spans="1:5" ht="67.5" customHeight="1" x14ac:dyDescent="0.25">
      <c r="A7" s="42">
        <v>6</v>
      </c>
      <c r="B7" s="35" t="s">
        <v>148</v>
      </c>
      <c r="C7" s="35" t="s">
        <v>149</v>
      </c>
      <c r="D7" s="36" t="s">
        <v>150</v>
      </c>
      <c r="E7" s="43" t="s">
        <v>151</v>
      </c>
    </row>
    <row r="8" spans="1:5" ht="54" customHeight="1" x14ac:dyDescent="0.25">
      <c r="A8" s="42">
        <v>7</v>
      </c>
      <c r="B8" s="35" t="s">
        <v>152</v>
      </c>
      <c r="C8" s="35" t="s">
        <v>153</v>
      </c>
      <c r="D8" s="36" t="s">
        <v>154</v>
      </c>
      <c r="E8" s="41" t="s">
        <v>155</v>
      </c>
    </row>
    <row r="9" spans="1:5" ht="69" customHeight="1" x14ac:dyDescent="0.25">
      <c r="A9" s="42">
        <v>8</v>
      </c>
      <c r="B9" s="35" t="s">
        <v>156</v>
      </c>
      <c r="C9" s="35" t="s">
        <v>157</v>
      </c>
      <c r="D9" s="36" t="s">
        <v>158</v>
      </c>
      <c r="E9" s="43" t="s">
        <v>159</v>
      </c>
    </row>
    <row r="10" spans="1:5" ht="51" customHeight="1" x14ac:dyDescent="0.25">
      <c r="A10" s="42">
        <v>9</v>
      </c>
      <c r="B10" s="37" t="s">
        <v>160</v>
      </c>
      <c r="C10" s="35" t="s">
        <v>161</v>
      </c>
      <c r="D10" s="36" t="s">
        <v>162</v>
      </c>
      <c r="E10" s="39" t="s">
        <v>163</v>
      </c>
    </row>
    <row r="11" spans="1:5" ht="68.25" customHeight="1" x14ac:dyDescent="0.25">
      <c r="A11" s="42">
        <v>10</v>
      </c>
      <c r="B11" s="37" t="s">
        <v>164</v>
      </c>
      <c r="C11" s="38" t="s">
        <v>165</v>
      </c>
      <c r="D11" s="39" t="s">
        <v>166</v>
      </c>
      <c r="E11" s="39" t="s">
        <v>167</v>
      </c>
    </row>
    <row r="12" spans="1:5" x14ac:dyDescent="0.25">
      <c r="D12" s="40"/>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E0223-29BB-4474-8C20-ADB97F5C0FF5}">
  <dimension ref="A1:B11"/>
  <sheetViews>
    <sheetView tabSelected="1" workbookViewId="0">
      <selection activeCell="E11" sqref="E11"/>
    </sheetView>
  </sheetViews>
  <sheetFormatPr defaultRowHeight="15" x14ac:dyDescent="0.25"/>
  <cols>
    <col min="1" max="1" width="28.85546875" customWidth="1"/>
    <col min="2" max="2" width="85.7109375" style="40" customWidth="1"/>
  </cols>
  <sheetData>
    <row r="1" spans="1:2" ht="30" customHeight="1" x14ac:dyDescent="0.35">
      <c r="A1" s="44" t="s">
        <v>168</v>
      </c>
      <c r="B1" s="44" t="s">
        <v>169</v>
      </c>
    </row>
    <row r="2" spans="1:2" ht="24.75" customHeight="1" x14ac:dyDescent="0.25">
      <c r="A2" s="45" t="s">
        <v>170</v>
      </c>
      <c r="B2" s="45" t="s">
        <v>171</v>
      </c>
    </row>
    <row r="3" spans="1:2" ht="54.75" customHeight="1" x14ac:dyDescent="0.25">
      <c r="A3" s="45" t="s">
        <v>172</v>
      </c>
      <c r="B3" s="39" t="s">
        <v>173</v>
      </c>
    </row>
    <row r="4" spans="1:2" ht="38.25" customHeight="1" x14ac:dyDescent="0.25">
      <c r="A4" s="45" t="s">
        <v>174</v>
      </c>
      <c r="B4" s="39" t="s">
        <v>175</v>
      </c>
    </row>
    <row r="5" spans="1:2" ht="54" customHeight="1" x14ac:dyDescent="0.25">
      <c r="A5" s="45" t="s">
        <v>176</v>
      </c>
      <c r="B5" s="39" t="s">
        <v>177</v>
      </c>
    </row>
    <row r="6" spans="1:2" ht="39" customHeight="1" x14ac:dyDescent="0.25">
      <c r="A6" s="45" t="s">
        <v>178</v>
      </c>
      <c r="B6" s="39" t="s">
        <v>179</v>
      </c>
    </row>
    <row r="7" spans="1:2" ht="40.5" customHeight="1" x14ac:dyDescent="0.25">
      <c r="A7" s="45" t="s">
        <v>180</v>
      </c>
      <c r="B7" s="39" t="s">
        <v>181</v>
      </c>
    </row>
    <row r="8" spans="1:2" ht="47.25" customHeight="1" x14ac:dyDescent="0.25">
      <c r="A8" s="45" t="s">
        <v>182</v>
      </c>
      <c r="B8" s="39" t="s">
        <v>183</v>
      </c>
    </row>
    <row r="9" spans="1:2" ht="55.5" customHeight="1" x14ac:dyDescent="0.25">
      <c r="A9" s="45" t="s">
        <v>184</v>
      </c>
      <c r="B9" s="39" t="s">
        <v>185</v>
      </c>
    </row>
    <row r="10" spans="1:2" ht="37.5" customHeight="1" x14ac:dyDescent="0.25">
      <c r="A10" s="45" t="s">
        <v>186</v>
      </c>
      <c r="B10" s="39" t="s">
        <v>187</v>
      </c>
    </row>
    <row r="11" spans="1:2" ht="52.5" customHeight="1" x14ac:dyDescent="0.25">
      <c r="A11" s="45" t="s">
        <v>188</v>
      </c>
      <c r="B11" s="39" t="s">
        <v>189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6A50F8-3E82-46F2-A38D-51625D0E7C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Master_Data</vt:lpstr>
      <vt:lpstr>Cleaned_Dataset</vt:lpstr>
      <vt:lpstr>Sales_Analysis </vt:lpstr>
      <vt:lpstr>Pivot_Anaysis</vt:lpstr>
      <vt:lpstr>Dashboard_Analysis</vt:lpstr>
      <vt:lpstr>Business_Insights</vt:lpstr>
      <vt:lpstr>Project_Description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ALEKHYA</dc:creator>
  <cp:lastModifiedBy>ALEKHYA</cp:lastModifiedBy>
  <dcterms:created xsi:type="dcterms:W3CDTF">2026-10-15T10:13:17Z</dcterms:created>
  <dcterms:modified xsi:type="dcterms:W3CDTF">2026-10-15T11:56:53Z</dcterms:modified>
</cp:coreProperties>
</file>